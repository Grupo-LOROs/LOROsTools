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heckCompatibility="1"/>
  <xr:revisionPtr revIDLastSave="0" documentId="8_{61BACA8D-D43E-452F-B3F0-8EC3E6915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19" i="1"/>
  <c r="F25" i="1"/>
  <c r="F24" i="1"/>
  <c r="F23" i="1"/>
  <c r="F22" i="1"/>
  <c r="F21" i="1"/>
  <c r="F20" i="1"/>
  <c r="A31" i="1"/>
  <c r="A32" i="1"/>
  <c r="A30" i="1"/>
  <c r="A29" i="1"/>
  <c r="A28" i="1"/>
</calcChain>
</file>

<file path=xl/sharedStrings.xml><?xml version="1.0" encoding="utf-8"?>
<sst xmlns="http://schemas.openxmlformats.org/spreadsheetml/2006/main" count="38" uniqueCount="32">
  <si>
    <t>MODELO</t>
  </si>
  <si>
    <t>DESCRIPCION</t>
  </si>
  <si>
    <t>GR-10-100</t>
  </si>
  <si>
    <t>Pago de contado</t>
  </si>
  <si>
    <t xml:space="preserve">Terminos y consideraciones: </t>
  </si>
  <si>
    <t>Vigencia de la presente cotización de 15 días o cambio de precio sin previo aviso por la variación mayor al 5% respecto del precio actual del dolar a la fecha de la cotización o por aumento en el costo de materias primas.</t>
  </si>
  <si>
    <t>Los precios ya incluyen IVA</t>
  </si>
  <si>
    <t>En caso de contar con los equipos solicitados en existencia la entrega se realizará de 3 a 8 días, de lo contrario se entregarán de 40 a 60 días, una vez confirmada la adquisición ó dependiendo de las condiciones de contrato.</t>
  </si>
  <si>
    <t>UNIDAD</t>
  </si>
  <si>
    <t>CANTIDAD</t>
  </si>
  <si>
    <t>PZA</t>
  </si>
  <si>
    <t>6.-</t>
  </si>
  <si>
    <t>Fecha</t>
  </si>
  <si>
    <t>Ciudad:</t>
  </si>
  <si>
    <t>Morelia</t>
  </si>
  <si>
    <t>P.U. NETO</t>
  </si>
  <si>
    <t>IMPORTE NETO</t>
  </si>
  <si>
    <t>Este precio esta considerado para compras en volumen y entregas por contenedor, flete incluido en el centro del pais, para el resto del pais se cargará un 3% o según negociación</t>
  </si>
  <si>
    <t>En caso de requerir instalacion se realizara con un kit basico de material para poder dar un presupuesto final se requiere un levantaminto tecnico para ver condiciones ideoneas del lugar .</t>
  </si>
  <si>
    <t>ILP-09</t>
  </si>
  <si>
    <t>CALENTADOR DE GAS LP  12.5KW  9L/M   CONEXIONES 1/2" , marca ERA,  MODELO OLP-09</t>
  </si>
  <si>
    <t>PARRILLA  A GAS LP Y NATURAL DE  4 QUEMADORES0</t>
  </si>
  <si>
    <t>CAMPANA  PARED SLIM TOUCHLESS 60 CM</t>
  </si>
  <si>
    <t>GR-08-800</t>
  </si>
  <si>
    <t>RHP-10-150</t>
  </si>
  <si>
    <t>RHP-12-150</t>
  </si>
  <si>
    <t>EC-180-60</t>
  </si>
  <si>
    <t>PLP-4</t>
  </si>
  <si>
    <t>CALENTADOR SOLAR RAYSOL  DE AGUA DE BAJA PRESION 8 TUBOS, 2 DUCHAS 2 RECAMARAS</t>
  </si>
  <si>
    <t>CALENTADOR SOLAR RAYSOL DE AGUA DE BAJA PRESION 10 TUBOS, 3 DUCHAS 3 RECAMARAS</t>
  </si>
  <si>
    <t>CALENTADOR SOLAR RAYSOL DE AGUA DE ALTA  PRESION 10 TUBOS, 2 DUCHAS 2 RECAMARAS</t>
  </si>
  <si>
    <t>CALENTADOR SOLAR RAYSOL DE AGUA DE ALTA  PRESION 12 TUBOS, 3 DUCHAS 3 RECAMARAS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</si>
</sst>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top"/>
    </xf>
    <xf numFmtId="44" fontId="4" fillId="0" borderId="0" xfId="1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44" fontId="4" fillId="0" borderId="10" xfId="1" applyFont="1" applyBorder="1" applyAlignment="1">
      <alignment horizontal="left" vertical="center" wrapText="1"/>
    </xf>
    <xf numFmtId="44" fontId="4" fillId="3" borderId="11" xfId="1" applyFont="1" applyFill="1" applyBorder="1" applyAlignment="1">
      <alignment horizontal="left" vertical="center"/>
    </xf>
    <xf numFmtId="44" fontId="4" fillId="3" borderId="12" xfId="1" applyFont="1" applyFill="1" applyBorder="1" applyAlignment="1">
      <alignment horizontal="left" vertical="center"/>
    </xf>
    <xf numFmtId="44" fontId="4" fillId="3" borderId="13" xfId="1" applyFont="1" applyFill="1" applyBorder="1" applyAlignment="1">
      <alignment horizontal="left" vertical="center"/>
    </xf>
    <xf numFmtId="0" fontId="4" fillId="0" borderId="10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44" fontId="4" fillId="0" borderId="10" xfId="1" applyFont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left"/>
    </xf>
    <xf numFmtId="44" fontId="4" fillId="0" borderId="1" xfId="1" applyFont="1" applyBorder="1" applyAlignment="1">
      <alignment horizontal="left" vertical="center" wrapText="1"/>
    </xf>
    <xf numFmtId="44" fontId="4" fillId="0" borderId="3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85725</xdr:rowOff>
    </xdr:from>
    <xdr:to>
      <xdr:col>1</xdr:col>
      <xdr:colOff>3933264</xdr:colOff>
      <xdr:row>16</xdr:row>
      <xdr:rowOff>162484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2562225"/>
          <a:ext cx="4761939" cy="838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200" baseline="0"/>
        </a:p>
        <a:p>
          <a:r>
            <a:rPr lang="es-MX" sz="1200" baseline="0"/>
            <a:t>Cotizacion Calentador solar ERA.</a:t>
          </a:r>
          <a:endParaRPr lang="es-MX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200"/>
            <a:t>Presente.  JANO</a:t>
          </a:r>
        </a:p>
      </xdr:txBody>
    </xdr:sp>
    <xdr:clientData/>
  </xdr:twoCellAnchor>
  <xdr:twoCellAnchor editAs="oneCell">
    <xdr:from>
      <xdr:col>0</xdr:col>
      <xdr:colOff>54428</xdr:colOff>
      <xdr:row>40</xdr:row>
      <xdr:rowOff>54429</xdr:rowOff>
    </xdr:from>
    <xdr:to>
      <xdr:col>6</xdr:col>
      <xdr:colOff>1325</xdr:colOff>
      <xdr:row>49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8" y="13226143"/>
          <a:ext cx="10832611" cy="1741714"/>
        </a:xfrm>
        <a:prstGeom prst="rect">
          <a:avLst/>
        </a:prstGeom>
      </xdr:spPr>
    </xdr:pic>
    <xdr:clientData/>
  </xdr:twoCellAnchor>
  <xdr:twoCellAnchor editAs="oneCell">
    <xdr:from>
      <xdr:col>0</xdr:col>
      <xdr:colOff>36285</xdr:colOff>
      <xdr:row>0</xdr:row>
      <xdr:rowOff>54428</xdr:rowOff>
    </xdr:from>
    <xdr:to>
      <xdr:col>6</xdr:col>
      <xdr:colOff>36286</xdr:colOff>
      <xdr:row>12</xdr:row>
      <xdr:rowOff>27974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85" y="54428"/>
          <a:ext cx="10885715" cy="2368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4:G40"/>
  <sheetViews>
    <sheetView tabSelected="1" view="pageBreakPreview" zoomScale="70" zoomScaleNormal="70" zoomScaleSheetLayoutView="100" zoomScalePageLayoutView="70" workbookViewId="0">
      <selection activeCell="E30" sqref="E30"/>
    </sheetView>
  </sheetViews>
  <sheetFormatPr baseColWidth="10" defaultColWidth="9.109375" defaultRowHeight="14.4" x14ac:dyDescent="0.3"/>
  <cols>
    <col min="1" max="1" width="12.44140625" customWidth="1"/>
    <col min="2" max="2" width="78.33203125" customWidth="1"/>
    <col min="3" max="3" width="8.77734375" bestFit="1" customWidth="1"/>
    <col min="4" max="4" width="11.109375" bestFit="1" customWidth="1"/>
    <col min="5" max="5" width="14.44140625" customWidth="1"/>
    <col min="6" max="6" width="17.33203125" bestFit="1" customWidth="1"/>
    <col min="7" max="7" width="11.44140625" bestFit="1" customWidth="1"/>
  </cols>
  <sheetData>
    <row r="14" spans="5:6" x14ac:dyDescent="0.3">
      <c r="E14" s="27"/>
      <c r="F14" s="27"/>
    </row>
    <row r="15" spans="5:6" x14ac:dyDescent="0.3">
      <c r="E15" s="28" t="s">
        <v>13</v>
      </c>
      <c r="F15" s="27" t="s">
        <v>14</v>
      </c>
    </row>
    <row r="16" spans="5:6" x14ac:dyDescent="0.3">
      <c r="E16" s="28" t="s">
        <v>12</v>
      </c>
      <c r="F16" s="29">
        <f ca="1">TODAY()</f>
        <v>46035</v>
      </c>
    </row>
    <row r="17" spans="1:7" ht="15" thickBot="1" x14ac:dyDescent="0.35"/>
    <row r="18" spans="1:7" s="1" customFormat="1" ht="38.25" customHeight="1" thickBot="1" x14ac:dyDescent="0.35">
      <c r="A18" s="12" t="s">
        <v>0</v>
      </c>
      <c r="B18" s="13" t="s">
        <v>1</v>
      </c>
      <c r="C18" s="14" t="s">
        <v>8</v>
      </c>
      <c r="D18" s="15" t="s">
        <v>9</v>
      </c>
      <c r="E18" s="16" t="s">
        <v>15</v>
      </c>
      <c r="F18" s="16" t="s">
        <v>16</v>
      </c>
    </row>
    <row r="19" spans="1:7" s="2" customFormat="1" ht="31.2" x14ac:dyDescent="0.3">
      <c r="A19" s="34" t="s">
        <v>19</v>
      </c>
      <c r="B19" s="17" t="s">
        <v>20</v>
      </c>
      <c r="C19" s="25" t="s">
        <v>10</v>
      </c>
      <c r="D19" s="22">
        <v>28</v>
      </c>
      <c r="E19" s="18">
        <v>2429</v>
      </c>
      <c r="F19" s="19">
        <f>D19*E19</f>
        <v>68012</v>
      </c>
      <c r="G19" s="11"/>
    </row>
    <row r="20" spans="1:7" s="2" customFormat="1" ht="15.6" x14ac:dyDescent="0.3">
      <c r="A20" s="35" t="s">
        <v>27</v>
      </c>
      <c r="B20" s="4" t="s">
        <v>21</v>
      </c>
      <c r="C20" s="26" t="s">
        <v>10</v>
      </c>
      <c r="D20" s="23">
        <v>28</v>
      </c>
      <c r="E20" s="30">
        <v>2689</v>
      </c>
      <c r="F20" s="20">
        <f t="shared" ref="F20:F25" si="0">D20*E20</f>
        <v>75292</v>
      </c>
      <c r="G20" s="11"/>
    </row>
    <row r="21" spans="1:7" s="2" customFormat="1" ht="48" customHeight="1" x14ac:dyDescent="0.3">
      <c r="A21" s="35" t="s">
        <v>26</v>
      </c>
      <c r="B21" s="4" t="s">
        <v>22</v>
      </c>
      <c r="C21" s="26" t="s">
        <v>10</v>
      </c>
      <c r="D21" s="23">
        <v>28</v>
      </c>
      <c r="E21" s="30">
        <v>1599</v>
      </c>
      <c r="F21" s="20">
        <f t="shared" si="0"/>
        <v>44772</v>
      </c>
      <c r="G21" s="11"/>
    </row>
    <row r="22" spans="1:7" s="2" customFormat="1" ht="47.25" customHeight="1" x14ac:dyDescent="0.3">
      <c r="A22" s="35" t="s">
        <v>23</v>
      </c>
      <c r="B22" s="4" t="s">
        <v>28</v>
      </c>
      <c r="C22" s="26" t="s">
        <v>10</v>
      </c>
      <c r="D22" s="23">
        <v>7</v>
      </c>
      <c r="E22" s="30">
        <v>2939</v>
      </c>
      <c r="F22" s="20">
        <f t="shared" si="0"/>
        <v>20573</v>
      </c>
      <c r="G22" s="11"/>
    </row>
    <row r="23" spans="1:7" s="2" customFormat="1" ht="50.25" customHeight="1" x14ac:dyDescent="0.3">
      <c r="A23" s="35" t="s">
        <v>2</v>
      </c>
      <c r="B23" s="4" t="s">
        <v>29</v>
      </c>
      <c r="C23" s="26" t="s">
        <v>10</v>
      </c>
      <c r="D23" s="23">
        <v>7</v>
      </c>
      <c r="E23" s="30">
        <v>3339</v>
      </c>
      <c r="F23" s="20">
        <f t="shared" si="0"/>
        <v>23373</v>
      </c>
      <c r="G23" s="11"/>
    </row>
    <row r="24" spans="1:7" s="2" customFormat="1" ht="50.25" customHeight="1" x14ac:dyDescent="0.3">
      <c r="A24" s="35" t="s">
        <v>24</v>
      </c>
      <c r="B24" s="4" t="s">
        <v>30</v>
      </c>
      <c r="C24" s="32" t="s">
        <v>10</v>
      </c>
      <c r="D24" s="23">
        <v>7</v>
      </c>
      <c r="E24" s="30">
        <v>8089</v>
      </c>
      <c r="F24" s="20">
        <f t="shared" si="0"/>
        <v>56623</v>
      </c>
      <c r="G24" s="11"/>
    </row>
    <row r="25" spans="1:7" s="2" customFormat="1" ht="50.25" customHeight="1" thickBot="1" x14ac:dyDescent="0.35">
      <c r="A25" s="36" t="s">
        <v>25</v>
      </c>
      <c r="B25" s="4" t="s">
        <v>31</v>
      </c>
      <c r="C25" s="33" t="s">
        <v>10</v>
      </c>
      <c r="D25" s="24">
        <v>7</v>
      </c>
      <c r="E25" s="31">
        <v>8829</v>
      </c>
      <c r="F25" s="21">
        <f t="shared" si="0"/>
        <v>61803</v>
      </c>
      <c r="G25" s="11"/>
    </row>
    <row r="26" spans="1:7" ht="15.75" customHeight="1" x14ac:dyDescent="0.3">
      <c r="A26" s="6" t="s">
        <v>4</v>
      </c>
      <c r="B26" s="5"/>
      <c r="C26" s="5"/>
      <c r="D26" s="5"/>
      <c r="E26" s="5"/>
      <c r="F26" s="3"/>
    </row>
    <row r="27" spans="1:7" ht="7.5" customHeight="1" x14ac:dyDescent="0.3">
      <c r="A27" s="7"/>
      <c r="B27" s="5"/>
      <c r="C27" s="5"/>
      <c r="D27" s="5"/>
      <c r="E27" s="5"/>
      <c r="F27" s="3"/>
    </row>
    <row r="28" spans="1:7" ht="15.6" x14ac:dyDescent="0.3">
      <c r="A28" s="8" t="str">
        <f>"1.-"</f>
        <v>1.-</v>
      </c>
      <c r="B28" s="5" t="s">
        <v>3</v>
      </c>
      <c r="C28" s="5"/>
      <c r="D28" s="5"/>
      <c r="E28" s="5"/>
      <c r="F28" s="3"/>
    </row>
    <row r="29" spans="1:7" ht="15.6" x14ac:dyDescent="0.3">
      <c r="A29" s="8" t="str">
        <f>"2.-"</f>
        <v>2.-</v>
      </c>
      <c r="B29" s="5" t="s">
        <v>6</v>
      </c>
      <c r="C29" s="5"/>
      <c r="D29" s="5"/>
      <c r="E29" s="5"/>
      <c r="F29" s="3"/>
    </row>
    <row r="30" spans="1:7" ht="46.8" x14ac:dyDescent="0.3">
      <c r="A30" s="10" t="str">
        <f>"3.-"</f>
        <v>3.-</v>
      </c>
      <c r="B30" s="5" t="s">
        <v>17</v>
      </c>
      <c r="C30" s="5"/>
      <c r="D30" s="5"/>
      <c r="E30" s="5"/>
      <c r="F30" s="3"/>
    </row>
    <row r="31" spans="1:7" ht="46.8" x14ac:dyDescent="0.3">
      <c r="A31" s="10" t="str">
        <f>"4.-"</f>
        <v>4.-</v>
      </c>
      <c r="B31" s="5" t="s">
        <v>5</v>
      </c>
      <c r="C31" s="5"/>
      <c r="D31" s="5"/>
      <c r="E31" s="5"/>
      <c r="F31" s="3"/>
    </row>
    <row r="32" spans="1:7" ht="45.75" customHeight="1" x14ac:dyDescent="0.3">
      <c r="A32" s="10" t="str">
        <f>"5.-"</f>
        <v>5.-</v>
      </c>
      <c r="B32" s="5" t="s">
        <v>7</v>
      </c>
      <c r="C32" s="5"/>
      <c r="D32" s="5"/>
      <c r="F32" s="3"/>
    </row>
    <row r="33" spans="1:6" ht="46.8" x14ac:dyDescent="0.3">
      <c r="A33" s="10" t="s">
        <v>11</v>
      </c>
      <c r="B33" s="5" t="s">
        <v>18</v>
      </c>
      <c r="C33" s="9"/>
      <c r="D33" s="9"/>
      <c r="E33" s="9"/>
      <c r="F33" s="3"/>
    </row>
    <row r="34" spans="1:6" ht="15.6" x14ac:dyDescent="0.3">
      <c r="A34" s="3"/>
      <c r="B34" s="3"/>
      <c r="C34" s="3"/>
      <c r="D34" s="3"/>
      <c r="E34" s="3"/>
      <c r="F34" s="3"/>
    </row>
    <row r="35" spans="1:6" ht="15.6" x14ac:dyDescent="0.3">
      <c r="A35" s="3"/>
      <c r="B35" s="3"/>
      <c r="C35" s="3"/>
      <c r="D35" s="3"/>
      <c r="E35" s="3"/>
      <c r="F35" s="3"/>
    </row>
    <row r="36" spans="1:6" ht="15.6" x14ac:dyDescent="0.3">
      <c r="A36" s="3"/>
      <c r="B36" s="3"/>
      <c r="C36" s="3"/>
      <c r="D36" s="3"/>
      <c r="E36" s="3"/>
      <c r="F36" s="3"/>
    </row>
    <row r="37" spans="1:6" ht="15.6" x14ac:dyDescent="0.3">
      <c r="A37" s="3"/>
      <c r="B37" s="3"/>
      <c r="C37" s="3"/>
      <c r="D37" s="3"/>
      <c r="E37" s="3"/>
      <c r="F37" s="3"/>
    </row>
    <row r="38" spans="1:6" ht="15.6" x14ac:dyDescent="0.3">
      <c r="A38" s="3"/>
      <c r="B38" s="3"/>
      <c r="C38" s="3"/>
      <c r="D38" s="3"/>
      <c r="E38" s="3"/>
      <c r="F38" s="3"/>
    </row>
    <row r="39" spans="1:6" ht="15.6" x14ac:dyDescent="0.3">
      <c r="A39" s="3"/>
      <c r="B39" s="3"/>
      <c r="C39" s="3"/>
      <c r="D39" s="3"/>
      <c r="E39" s="3"/>
      <c r="F39" s="3"/>
    </row>
    <row r="40" spans="1:6" ht="15.6" x14ac:dyDescent="0.3">
      <c r="A40" s="3"/>
      <c r="B40" s="3"/>
      <c r="C40" s="3"/>
      <c r="D40" s="3"/>
      <c r="E40" s="3"/>
      <c r="F40" s="3"/>
    </row>
  </sheetData>
  <phoneticPr fontId="7" type="noConversion"/>
  <printOptions verticalCentered="1"/>
  <pageMargins left="0.39370078740157483" right="0.39370078740157483" top="0.19685039370078741" bottom="0.19685039370078741" header="0" footer="0"/>
  <pageSetup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2020-05-05T23:43:17Z</cp:lastPrinted>
  <dcterms:created xsi:type="dcterms:W3CDTF">2015-06-05T18:19:34Z</dcterms:created>
  <dcterms:modified xsi:type="dcterms:W3CDTF">2026-01-13T22:08:24Z</dcterms:modified>
</cp:coreProperties>
</file>