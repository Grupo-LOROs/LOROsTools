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ueva carpeta (2)\JOHNSON ELECTRIC GROUP MEXICO 860\ESCANEO ENERGÉTICO\"/>
    </mc:Choice>
  </mc:AlternateContent>
  <xr:revisionPtr revIDLastSave="0" documentId="13_ncr:10000001_{18034175-A3A4-4E2B-91FA-C3B3D5FB1C6D}" xr6:coauthVersionLast="47" xr6:coauthVersionMax="47" xr10:uidLastSave="{00000000-0000-0000-0000-000000000000}"/>
  <bookViews>
    <workbookView xWindow="-28920" yWindow="-2865" windowWidth="29040" windowHeight="15840" xr2:uid="{A3723367-19B7-4B01-96E2-1D099BCC5EFA}"/>
  </bookViews>
  <sheets>
    <sheet name="Hoja1" sheetId="1" r:id="rId1"/>
    <sheet name="Hoja2" sheetId="3" r:id="rId2"/>
    <sheet name="Hoja3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M24" i="1" l="1"/>
  <c r="CM3" i="1"/>
  <c r="I20" i="2" l="1"/>
  <c r="E20" i="2"/>
  <c r="I19" i="2"/>
  <c r="E19" i="2"/>
  <c r="I18" i="2"/>
  <c r="I17" i="2"/>
  <c r="I16" i="2"/>
  <c r="E16" i="2"/>
  <c r="I15" i="2"/>
  <c r="E15" i="2"/>
  <c r="I14" i="2"/>
  <c r="E14" i="2"/>
  <c r="I13" i="2"/>
  <c r="E13" i="2"/>
  <c r="I12" i="2"/>
  <c r="E12" i="2"/>
  <c r="I11" i="2"/>
  <c r="E11" i="2"/>
  <c r="S371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Q369" i="3"/>
  <c r="P369" i="3"/>
  <c r="O369" i="3"/>
  <c r="Q368" i="3"/>
  <c r="P368" i="3"/>
  <c r="O368" i="3"/>
  <c r="Q367" i="3"/>
  <c r="P367" i="3"/>
  <c r="O367" i="3"/>
  <c r="Q366" i="3"/>
  <c r="P366" i="3"/>
  <c r="O366" i="3"/>
  <c r="Q365" i="3"/>
  <c r="P365" i="3"/>
  <c r="O365" i="3"/>
  <c r="Q364" i="3"/>
  <c r="P364" i="3"/>
  <c r="O364" i="3"/>
  <c r="Q363" i="3"/>
  <c r="P363" i="3"/>
  <c r="O363" i="3"/>
  <c r="Q362" i="3"/>
  <c r="P362" i="3"/>
  <c r="O362" i="3"/>
  <c r="Q361" i="3"/>
  <c r="P361" i="3"/>
  <c r="O361" i="3"/>
  <c r="Q360" i="3"/>
  <c r="P360" i="3"/>
  <c r="O360" i="3"/>
  <c r="Q359" i="3"/>
  <c r="P359" i="3"/>
  <c r="O359" i="3"/>
  <c r="Q358" i="3"/>
  <c r="P358" i="3"/>
  <c r="O358" i="3"/>
  <c r="Q357" i="3"/>
  <c r="P357" i="3"/>
  <c r="O357" i="3"/>
  <c r="Q356" i="3"/>
  <c r="P356" i="3"/>
  <c r="O356" i="3"/>
  <c r="Q355" i="3"/>
  <c r="P355" i="3"/>
  <c r="O355" i="3"/>
  <c r="Q354" i="3"/>
  <c r="P354" i="3"/>
  <c r="O354" i="3"/>
  <c r="Q353" i="3"/>
  <c r="P353" i="3"/>
  <c r="O353" i="3"/>
  <c r="Q352" i="3"/>
  <c r="P352" i="3"/>
  <c r="O352" i="3"/>
  <c r="Q351" i="3"/>
  <c r="P351" i="3"/>
  <c r="O351" i="3"/>
  <c r="Q350" i="3"/>
  <c r="P350" i="3"/>
  <c r="O350" i="3"/>
  <c r="Q349" i="3"/>
  <c r="P349" i="3"/>
  <c r="O349" i="3"/>
  <c r="Q348" i="3"/>
  <c r="P348" i="3"/>
  <c r="O348" i="3"/>
  <c r="Q347" i="3"/>
  <c r="P347" i="3"/>
  <c r="O347" i="3"/>
  <c r="Q346" i="3"/>
  <c r="P346" i="3"/>
  <c r="O346" i="3"/>
  <c r="Q345" i="3"/>
  <c r="P345" i="3"/>
  <c r="O345" i="3"/>
  <c r="Q344" i="3"/>
  <c r="P344" i="3"/>
  <c r="O344" i="3"/>
  <c r="Q343" i="3"/>
  <c r="P343" i="3"/>
  <c r="O343" i="3"/>
  <c r="Q342" i="3"/>
  <c r="P342" i="3"/>
  <c r="O342" i="3"/>
  <c r="Q341" i="3"/>
  <c r="P341" i="3"/>
  <c r="O341" i="3"/>
  <c r="Q340" i="3"/>
  <c r="P340" i="3"/>
  <c r="O340" i="3"/>
  <c r="Q339" i="3"/>
  <c r="P339" i="3"/>
  <c r="O339" i="3"/>
  <c r="Q338" i="3"/>
  <c r="P338" i="3"/>
  <c r="O338" i="3"/>
  <c r="Q337" i="3"/>
  <c r="P337" i="3"/>
  <c r="O337" i="3"/>
  <c r="Q336" i="3"/>
  <c r="P336" i="3"/>
  <c r="O336" i="3"/>
  <c r="Q335" i="3"/>
  <c r="P335" i="3"/>
  <c r="O335" i="3"/>
  <c r="Q334" i="3"/>
  <c r="P334" i="3"/>
  <c r="O334" i="3"/>
  <c r="Q333" i="3"/>
  <c r="P333" i="3"/>
  <c r="O333" i="3"/>
  <c r="Q332" i="3"/>
  <c r="P332" i="3"/>
  <c r="O332" i="3"/>
  <c r="Q331" i="3"/>
  <c r="P331" i="3"/>
  <c r="O331" i="3"/>
  <c r="Q330" i="3"/>
  <c r="P330" i="3"/>
  <c r="O330" i="3"/>
  <c r="Q329" i="3"/>
  <c r="P329" i="3"/>
  <c r="O329" i="3"/>
  <c r="Q328" i="3"/>
  <c r="P328" i="3"/>
  <c r="O328" i="3"/>
  <c r="Q327" i="3"/>
  <c r="P327" i="3"/>
  <c r="O327" i="3"/>
  <c r="Q326" i="3"/>
  <c r="P326" i="3"/>
  <c r="O326" i="3"/>
  <c r="Q325" i="3"/>
  <c r="P325" i="3"/>
  <c r="O325" i="3"/>
  <c r="Q324" i="3"/>
  <c r="P324" i="3"/>
  <c r="O324" i="3"/>
  <c r="Q323" i="3"/>
  <c r="P323" i="3"/>
  <c r="O323" i="3"/>
  <c r="Q322" i="3"/>
  <c r="P322" i="3"/>
  <c r="O322" i="3"/>
  <c r="Q321" i="3"/>
  <c r="P321" i="3"/>
  <c r="O321" i="3"/>
  <c r="Q320" i="3"/>
  <c r="P320" i="3"/>
  <c r="O320" i="3"/>
  <c r="Q319" i="3"/>
  <c r="P319" i="3"/>
  <c r="O319" i="3"/>
  <c r="Q318" i="3"/>
  <c r="P318" i="3"/>
  <c r="O318" i="3"/>
  <c r="Q317" i="3"/>
  <c r="P317" i="3"/>
  <c r="O317" i="3"/>
  <c r="Q316" i="3"/>
  <c r="P316" i="3"/>
  <c r="O316" i="3"/>
  <c r="Q315" i="3"/>
  <c r="P315" i="3"/>
  <c r="O315" i="3"/>
  <c r="Q314" i="3"/>
  <c r="P314" i="3"/>
  <c r="O314" i="3"/>
  <c r="Q313" i="3"/>
  <c r="P313" i="3"/>
  <c r="O313" i="3"/>
  <c r="Q312" i="3"/>
  <c r="P312" i="3"/>
  <c r="O312" i="3"/>
  <c r="Q311" i="3"/>
  <c r="P311" i="3"/>
  <c r="O311" i="3"/>
  <c r="Q310" i="3"/>
  <c r="P310" i="3"/>
  <c r="O310" i="3"/>
  <c r="Q309" i="3"/>
  <c r="P309" i="3"/>
  <c r="O309" i="3"/>
  <c r="Q308" i="3"/>
  <c r="P308" i="3"/>
  <c r="O308" i="3"/>
  <c r="Q307" i="3"/>
  <c r="P307" i="3"/>
  <c r="O307" i="3"/>
  <c r="Q306" i="3"/>
  <c r="P306" i="3"/>
  <c r="O306" i="3"/>
  <c r="Q305" i="3"/>
  <c r="P305" i="3"/>
  <c r="O305" i="3"/>
  <c r="Q304" i="3"/>
  <c r="P304" i="3"/>
  <c r="O304" i="3"/>
  <c r="Q303" i="3"/>
  <c r="P303" i="3"/>
  <c r="O303" i="3"/>
  <c r="Q302" i="3"/>
  <c r="P302" i="3"/>
  <c r="O302" i="3"/>
  <c r="Q301" i="3"/>
  <c r="P301" i="3"/>
  <c r="O301" i="3"/>
  <c r="Q300" i="3"/>
  <c r="P300" i="3"/>
  <c r="O300" i="3"/>
  <c r="Q299" i="3"/>
  <c r="P299" i="3"/>
  <c r="O299" i="3"/>
  <c r="Q298" i="3"/>
  <c r="P298" i="3"/>
  <c r="O298" i="3"/>
  <c r="Q297" i="3"/>
  <c r="P297" i="3"/>
  <c r="O297" i="3"/>
  <c r="Q296" i="3"/>
  <c r="P296" i="3"/>
  <c r="O296" i="3"/>
  <c r="Q295" i="3"/>
  <c r="P295" i="3"/>
  <c r="O295" i="3"/>
  <c r="Q294" i="3"/>
  <c r="P294" i="3"/>
  <c r="O294" i="3"/>
  <c r="Q293" i="3"/>
  <c r="P293" i="3"/>
  <c r="O293" i="3"/>
  <c r="Q292" i="3"/>
  <c r="P292" i="3"/>
  <c r="O292" i="3"/>
  <c r="Q291" i="3"/>
  <c r="P291" i="3"/>
  <c r="O291" i="3"/>
  <c r="Q290" i="3"/>
  <c r="P290" i="3"/>
  <c r="O290" i="3"/>
  <c r="Q289" i="3"/>
  <c r="P289" i="3"/>
  <c r="O289" i="3"/>
  <c r="Q288" i="3"/>
  <c r="P288" i="3"/>
  <c r="O288" i="3"/>
  <c r="Q287" i="3"/>
  <c r="P287" i="3"/>
  <c r="O287" i="3"/>
  <c r="Q286" i="3"/>
  <c r="P286" i="3"/>
  <c r="O286" i="3"/>
  <c r="Q285" i="3"/>
  <c r="P285" i="3"/>
  <c r="O285" i="3"/>
  <c r="Q284" i="3"/>
  <c r="P284" i="3"/>
  <c r="O284" i="3"/>
  <c r="Q283" i="3"/>
  <c r="P283" i="3"/>
  <c r="O283" i="3"/>
  <c r="Q282" i="3"/>
  <c r="P282" i="3"/>
  <c r="O282" i="3"/>
  <c r="Q281" i="3"/>
  <c r="P281" i="3"/>
  <c r="O281" i="3"/>
  <c r="Q280" i="3"/>
  <c r="P280" i="3"/>
  <c r="O280" i="3"/>
  <c r="Q279" i="3"/>
  <c r="P279" i="3"/>
  <c r="O279" i="3"/>
  <c r="Q278" i="3"/>
  <c r="P278" i="3"/>
  <c r="O278" i="3"/>
  <c r="Q277" i="3"/>
  <c r="P277" i="3"/>
  <c r="O277" i="3"/>
  <c r="Q276" i="3"/>
  <c r="P276" i="3"/>
  <c r="O276" i="3"/>
  <c r="Q275" i="3"/>
  <c r="P275" i="3"/>
  <c r="O275" i="3"/>
  <c r="Q274" i="3"/>
  <c r="P274" i="3"/>
  <c r="O274" i="3"/>
  <c r="Q273" i="3"/>
  <c r="P273" i="3"/>
  <c r="O273" i="3"/>
  <c r="Q272" i="3"/>
  <c r="P272" i="3"/>
  <c r="O272" i="3"/>
  <c r="Q271" i="3"/>
  <c r="P271" i="3"/>
  <c r="O271" i="3"/>
  <c r="Q270" i="3"/>
  <c r="P270" i="3"/>
  <c r="O270" i="3"/>
  <c r="Q269" i="3"/>
  <c r="P269" i="3"/>
  <c r="O269" i="3"/>
  <c r="Q268" i="3"/>
  <c r="P268" i="3"/>
  <c r="O268" i="3"/>
  <c r="Q267" i="3"/>
  <c r="P267" i="3"/>
  <c r="O267" i="3"/>
  <c r="Q266" i="3"/>
  <c r="P266" i="3"/>
  <c r="O266" i="3"/>
  <c r="Q265" i="3"/>
  <c r="P265" i="3"/>
  <c r="O265" i="3"/>
  <c r="Q264" i="3"/>
  <c r="P264" i="3"/>
  <c r="O264" i="3"/>
  <c r="Q263" i="3"/>
  <c r="P263" i="3"/>
  <c r="O263" i="3"/>
  <c r="Q262" i="3"/>
  <c r="P262" i="3"/>
  <c r="O262" i="3"/>
  <c r="Q261" i="3"/>
  <c r="P261" i="3"/>
  <c r="O261" i="3"/>
  <c r="Q260" i="3"/>
  <c r="P260" i="3"/>
  <c r="O260" i="3"/>
  <c r="Q259" i="3"/>
  <c r="P259" i="3"/>
  <c r="O259" i="3"/>
  <c r="Q258" i="3"/>
  <c r="P258" i="3"/>
  <c r="O258" i="3"/>
  <c r="Q257" i="3"/>
  <c r="P257" i="3"/>
  <c r="O257" i="3"/>
  <c r="Q256" i="3"/>
  <c r="P256" i="3"/>
  <c r="O256" i="3"/>
  <c r="Q255" i="3"/>
  <c r="P255" i="3"/>
  <c r="O255" i="3"/>
  <c r="Q254" i="3"/>
  <c r="P254" i="3"/>
  <c r="O254" i="3"/>
  <c r="Q253" i="3"/>
  <c r="P253" i="3"/>
  <c r="O253" i="3"/>
  <c r="Q252" i="3"/>
  <c r="P252" i="3"/>
  <c r="O252" i="3"/>
  <c r="Q251" i="3"/>
  <c r="P251" i="3"/>
  <c r="O251" i="3"/>
  <c r="Q250" i="3"/>
  <c r="P250" i="3"/>
  <c r="O250" i="3"/>
  <c r="Q249" i="3"/>
  <c r="P249" i="3"/>
  <c r="O249" i="3"/>
  <c r="Q248" i="3"/>
  <c r="P248" i="3"/>
  <c r="O248" i="3"/>
  <c r="Q247" i="3"/>
  <c r="P247" i="3"/>
  <c r="O247" i="3"/>
  <c r="Q246" i="3"/>
  <c r="P246" i="3"/>
  <c r="O246" i="3"/>
  <c r="Q245" i="3"/>
  <c r="P245" i="3"/>
  <c r="O245" i="3"/>
  <c r="Q244" i="3"/>
  <c r="P244" i="3"/>
  <c r="O244" i="3"/>
  <c r="Q243" i="3"/>
  <c r="P243" i="3"/>
  <c r="O243" i="3"/>
  <c r="Q242" i="3"/>
  <c r="P242" i="3"/>
  <c r="O242" i="3"/>
  <c r="Q241" i="3"/>
  <c r="P241" i="3"/>
  <c r="O241" i="3"/>
  <c r="Q240" i="3"/>
  <c r="P240" i="3"/>
  <c r="O240" i="3"/>
  <c r="Q239" i="3"/>
  <c r="P239" i="3"/>
  <c r="O239" i="3"/>
  <c r="Q238" i="3"/>
  <c r="P238" i="3"/>
  <c r="O238" i="3"/>
  <c r="Q237" i="3"/>
  <c r="P237" i="3"/>
  <c r="O237" i="3"/>
  <c r="Q236" i="3"/>
  <c r="P236" i="3"/>
  <c r="O236" i="3"/>
  <c r="Q235" i="3"/>
  <c r="P235" i="3"/>
  <c r="O235" i="3"/>
  <c r="Q234" i="3"/>
  <c r="P234" i="3"/>
  <c r="O234" i="3"/>
  <c r="Q233" i="3"/>
  <c r="P233" i="3"/>
  <c r="O233" i="3"/>
  <c r="Q232" i="3"/>
  <c r="P232" i="3"/>
  <c r="O232" i="3"/>
  <c r="Q231" i="3"/>
  <c r="P231" i="3"/>
  <c r="O231" i="3"/>
  <c r="Q230" i="3"/>
  <c r="P230" i="3"/>
  <c r="O230" i="3"/>
  <c r="Q229" i="3"/>
  <c r="P229" i="3"/>
  <c r="O229" i="3"/>
  <c r="Q228" i="3"/>
  <c r="P228" i="3"/>
  <c r="O228" i="3"/>
  <c r="Q227" i="3"/>
  <c r="P227" i="3"/>
  <c r="O227" i="3"/>
  <c r="Q226" i="3"/>
  <c r="P226" i="3"/>
  <c r="O226" i="3"/>
  <c r="Q225" i="3"/>
  <c r="P225" i="3"/>
  <c r="O225" i="3"/>
  <c r="Q224" i="3"/>
  <c r="P224" i="3"/>
  <c r="O224" i="3"/>
  <c r="Q223" i="3"/>
  <c r="P223" i="3"/>
  <c r="O223" i="3"/>
  <c r="Q222" i="3"/>
  <c r="P222" i="3"/>
  <c r="O222" i="3"/>
  <c r="Q221" i="3"/>
  <c r="P221" i="3"/>
  <c r="O221" i="3"/>
  <c r="Q220" i="3"/>
  <c r="P220" i="3"/>
  <c r="O220" i="3"/>
  <c r="Q219" i="3"/>
  <c r="P219" i="3"/>
  <c r="O219" i="3"/>
  <c r="Q218" i="3"/>
  <c r="P218" i="3"/>
  <c r="O218" i="3"/>
  <c r="Q217" i="3"/>
  <c r="P217" i="3"/>
  <c r="O217" i="3"/>
  <c r="Q216" i="3"/>
  <c r="P216" i="3"/>
  <c r="O216" i="3"/>
  <c r="Q215" i="3"/>
  <c r="P215" i="3"/>
  <c r="O215" i="3"/>
  <c r="Q214" i="3"/>
  <c r="P214" i="3"/>
  <c r="O214" i="3"/>
  <c r="Q213" i="3"/>
  <c r="P213" i="3"/>
  <c r="O213" i="3"/>
  <c r="Q212" i="3"/>
  <c r="P212" i="3"/>
  <c r="O212" i="3"/>
  <c r="Q211" i="3"/>
  <c r="P211" i="3"/>
  <c r="O211" i="3"/>
  <c r="Q210" i="3"/>
  <c r="P210" i="3"/>
  <c r="O210" i="3"/>
  <c r="Q209" i="3"/>
  <c r="P209" i="3"/>
  <c r="O209" i="3"/>
  <c r="Q208" i="3"/>
  <c r="P208" i="3"/>
  <c r="O208" i="3"/>
  <c r="Q207" i="3"/>
  <c r="P207" i="3"/>
  <c r="O207" i="3"/>
  <c r="Q206" i="3"/>
  <c r="P206" i="3"/>
  <c r="O206" i="3"/>
  <c r="Q205" i="3"/>
  <c r="P205" i="3"/>
  <c r="O205" i="3"/>
  <c r="Q204" i="3"/>
  <c r="P204" i="3"/>
  <c r="O204" i="3"/>
  <c r="Q203" i="3"/>
  <c r="P203" i="3"/>
  <c r="O203" i="3"/>
  <c r="Q202" i="3"/>
  <c r="P202" i="3"/>
  <c r="O202" i="3"/>
  <c r="Q201" i="3"/>
  <c r="P201" i="3"/>
  <c r="O201" i="3"/>
  <c r="Q200" i="3"/>
  <c r="P200" i="3"/>
  <c r="O200" i="3"/>
  <c r="Q199" i="3"/>
  <c r="P199" i="3"/>
  <c r="O199" i="3"/>
  <c r="Q198" i="3"/>
  <c r="P198" i="3"/>
  <c r="O198" i="3"/>
  <c r="Q197" i="3"/>
  <c r="P197" i="3"/>
  <c r="O197" i="3"/>
  <c r="Q196" i="3"/>
  <c r="P196" i="3"/>
  <c r="O196" i="3"/>
  <c r="Q195" i="3"/>
  <c r="P195" i="3"/>
  <c r="O195" i="3"/>
  <c r="Q194" i="3"/>
  <c r="P194" i="3"/>
  <c r="O194" i="3"/>
  <c r="Q193" i="3"/>
  <c r="P193" i="3"/>
  <c r="O193" i="3"/>
  <c r="Q192" i="3"/>
  <c r="P192" i="3"/>
  <c r="O192" i="3"/>
  <c r="Q191" i="3"/>
  <c r="P191" i="3"/>
  <c r="O191" i="3"/>
  <c r="Q190" i="3"/>
  <c r="P190" i="3"/>
  <c r="O190" i="3"/>
  <c r="Q189" i="3"/>
  <c r="P189" i="3"/>
  <c r="O189" i="3"/>
  <c r="Q188" i="3"/>
  <c r="P188" i="3"/>
  <c r="O188" i="3"/>
  <c r="Q187" i="3"/>
  <c r="P187" i="3"/>
  <c r="O187" i="3"/>
  <c r="Q186" i="3"/>
  <c r="P186" i="3"/>
  <c r="O186" i="3"/>
  <c r="Q185" i="3"/>
  <c r="P185" i="3"/>
  <c r="O185" i="3"/>
  <c r="Q184" i="3"/>
  <c r="P184" i="3"/>
  <c r="O184" i="3"/>
  <c r="Q183" i="3"/>
  <c r="P183" i="3"/>
  <c r="O183" i="3"/>
  <c r="Q182" i="3"/>
  <c r="P182" i="3"/>
  <c r="O182" i="3"/>
  <c r="Q181" i="3"/>
  <c r="P181" i="3"/>
  <c r="O181" i="3"/>
  <c r="Q180" i="3"/>
  <c r="P180" i="3"/>
  <c r="O180" i="3"/>
  <c r="Q179" i="3"/>
  <c r="P179" i="3"/>
  <c r="O179" i="3"/>
  <c r="Q178" i="3"/>
  <c r="P178" i="3"/>
  <c r="O178" i="3"/>
  <c r="Q177" i="3"/>
  <c r="P177" i="3"/>
  <c r="O177" i="3"/>
  <c r="Q176" i="3"/>
  <c r="P176" i="3"/>
  <c r="O176" i="3"/>
  <c r="Q175" i="3"/>
  <c r="P175" i="3"/>
  <c r="O175" i="3"/>
  <c r="Q174" i="3"/>
  <c r="P174" i="3"/>
  <c r="O174" i="3"/>
  <c r="Q173" i="3"/>
  <c r="P173" i="3"/>
  <c r="O173" i="3"/>
  <c r="Q172" i="3"/>
  <c r="P172" i="3"/>
  <c r="O172" i="3"/>
  <c r="Q171" i="3"/>
  <c r="P171" i="3"/>
  <c r="O171" i="3"/>
  <c r="Q170" i="3"/>
  <c r="P170" i="3"/>
  <c r="O170" i="3"/>
  <c r="Q169" i="3"/>
  <c r="P169" i="3"/>
  <c r="O169" i="3"/>
  <c r="Q168" i="3"/>
  <c r="P168" i="3"/>
  <c r="O168" i="3"/>
  <c r="Q167" i="3"/>
  <c r="P167" i="3"/>
  <c r="O167" i="3"/>
  <c r="Q166" i="3"/>
  <c r="P166" i="3"/>
  <c r="O166" i="3"/>
  <c r="Q165" i="3"/>
  <c r="P165" i="3"/>
  <c r="O165" i="3"/>
  <c r="Q164" i="3"/>
  <c r="P164" i="3"/>
  <c r="O164" i="3"/>
  <c r="Q163" i="3"/>
  <c r="P163" i="3"/>
  <c r="O163" i="3"/>
  <c r="Q162" i="3"/>
  <c r="P162" i="3"/>
  <c r="O162" i="3"/>
  <c r="Q161" i="3"/>
  <c r="P161" i="3"/>
  <c r="O161" i="3"/>
  <c r="Q160" i="3"/>
  <c r="P160" i="3"/>
  <c r="O160" i="3"/>
  <c r="Q159" i="3"/>
  <c r="P159" i="3"/>
  <c r="O159" i="3"/>
  <c r="Q158" i="3"/>
  <c r="P158" i="3"/>
  <c r="O158" i="3"/>
  <c r="Q157" i="3"/>
  <c r="P157" i="3"/>
  <c r="O157" i="3"/>
  <c r="Q156" i="3"/>
  <c r="P156" i="3"/>
  <c r="O156" i="3"/>
  <c r="Q155" i="3"/>
  <c r="P155" i="3"/>
  <c r="O155" i="3"/>
  <c r="Q154" i="3"/>
  <c r="P154" i="3"/>
  <c r="O154" i="3"/>
  <c r="Q153" i="3"/>
  <c r="P153" i="3"/>
  <c r="O153" i="3"/>
  <c r="Q152" i="3"/>
  <c r="P152" i="3"/>
  <c r="O152" i="3"/>
  <c r="Q151" i="3"/>
  <c r="P151" i="3"/>
  <c r="O151" i="3"/>
  <c r="Q150" i="3"/>
  <c r="P150" i="3"/>
  <c r="O150" i="3"/>
  <c r="Q149" i="3"/>
  <c r="P149" i="3"/>
  <c r="O149" i="3"/>
  <c r="Q148" i="3"/>
  <c r="P148" i="3"/>
  <c r="O148" i="3"/>
  <c r="Q147" i="3"/>
  <c r="P147" i="3"/>
  <c r="O147" i="3"/>
  <c r="Q146" i="3"/>
  <c r="P146" i="3"/>
  <c r="O146" i="3"/>
  <c r="Q145" i="3"/>
  <c r="P145" i="3"/>
  <c r="O145" i="3"/>
  <c r="Q144" i="3"/>
  <c r="P144" i="3"/>
  <c r="O144" i="3"/>
  <c r="Q143" i="3"/>
  <c r="P143" i="3"/>
  <c r="O143" i="3"/>
  <c r="Q142" i="3"/>
  <c r="P142" i="3"/>
  <c r="O142" i="3"/>
  <c r="Q141" i="3"/>
  <c r="P141" i="3"/>
  <c r="O141" i="3"/>
  <c r="Q140" i="3"/>
  <c r="P140" i="3"/>
  <c r="O140" i="3"/>
  <c r="Q139" i="3"/>
  <c r="P139" i="3"/>
  <c r="O139" i="3"/>
  <c r="Q138" i="3"/>
  <c r="P138" i="3"/>
  <c r="O138" i="3"/>
  <c r="Q137" i="3"/>
  <c r="P137" i="3"/>
  <c r="O137" i="3"/>
  <c r="Q136" i="3"/>
  <c r="P136" i="3"/>
  <c r="O136" i="3"/>
  <c r="Q135" i="3"/>
  <c r="P135" i="3"/>
  <c r="O135" i="3"/>
  <c r="Q134" i="3"/>
  <c r="P134" i="3"/>
  <c r="O134" i="3"/>
  <c r="Q133" i="3"/>
  <c r="P133" i="3"/>
  <c r="O133" i="3"/>
  <c r="Q132" i="3"/>
  <c r="P132" i="3"/>
  <c r="O132" i="3"/>
  <c r="Q131" i="3"/>
  <c r="P131" i="3"/>
  <c r="O131" i="3"/>
  <c r="Q130" i="3"/>
  <c r="P130" i="3"/>
  <c r="O130" i="3"/>
  <c r="Q129" i="3"/>
  <c r="P129" i="3"/>
  <c r="O129" i="3"/>
  <c r="Q128" i="3"/>
  <c r="P128" i="3"/>
  <c r="O128" i="3"/>
  <c r="Q127" i="3"/>
  <c r="P127" i="3"/>
  <c r="O127" i="3"/>
  <c r="Q126" i="3"/>
  <c r="P126" i="3"/>
  <c r="O126" i="3"/>
  <c r="Q125" i="3"/>
  <c r="P125" i="3"/>
  <c r="O125" i="3"/>
  <c r="Q124" i="3"/>
  <c r="P124" i="3"/>
  <c r="O124" i="3"/>
  <c r="Q123" i="3"/>
  <c r="P123" i="3"/>
  <c r="O123" i="3"/>
  <c r="Q122" i="3"/>
  <c r="P122" i="3"/>
  <c r="O122" i="3"/>
  <c r="Q121" i="3"/>
  <c r="P121" i="3"/>
  <c r="O121" i="3"/>
  <c r="Q120" i="3"/>
  <c r="P120" i="3"/>
  <c r="O120" i="3"/>
  <c r="Q119" i="3"/>
  <c r="P119" i="3"/>
  <c r="O119" i="3"/>
  <c r="Q118" i="3"/>
  <c r="P118" i="3"/>
  <c r="O118" i="3"/>
  <c r="Q117" i="3"/>
  <c r="P117" i="3"/>
  <c r="O117" i="3"/>
  <c r="Q116" i="3"/>
  <c r="P116" i="3"/>
  <c r="O116" i="3"/>
  <c r="Q115" i="3"/>
  <c r="P115" i="3"/>
  <c r="O115" i="3"/>
  <c r="Q114" i="3"/>
  <c r="P114" i="3"/>
  <c r="O114" i="3"/>
  <c r="Q113" i="3"/>
  <c r="P113" i="3"/>
  <c r="O113" i="3"/>
  <c r="Q112" i="3"/>
  <c r="P112" i="3"/>
  <c r="O112" i="3"/>
  <c r="Q111" i="3"/>
  <c r="P111" i="3"/>
  <c r="O111" i="3"/>
  <c r="Q110" i="3"/>
  <c r="P110" i="3"/>
  <c r="O110" i="3"/>
  <c r="Q109" i="3"/>
  <c r="P109" i="3"/>
  <c r="O109" i="3"/>
  <c r="Q108" i="3"/>
  <c r="P108" i="3"/>
  <c r="O108" i="3"/>
  <c r="Q107" i="3"/>
  <c r="P107" i="3"/>
  <c r="O107" i="3"/>
  <c r="Q106" i="3"/>
  <c r="P106" i="3"/>
  <c r="O106" i="3"/>
  <c r="Q105" i="3"/>
  <c r="P105" i="3"/>
  <c r="O105" i="3"/>
  <c r="Q104" i="3"/>
  <c r="P104" i="3"/>
  <c r="O104" i="3"/>
  <c r="Q103" i="3"/>
  <c r="P103" i="3"/>
  <c r="O103" i="3"/>
  <c r="Q102" i="3"/>
  <c r="P102" i="3"/>
  <c r="O102" i="3"/>
  <c r="Q101" i="3"/>
  <c r="P101" i="3"/>
  <c r="O101" i="3"/>
  <c r="Q100" i="3"/>
  <c r="P100" i="3"/>
  <c r="O100" i="3"/>
  <c r="Q99" i="3"/>
  <c r="P99" i="3"/>
  <c r="O99" i="3"/>
  <c r="Q98" i="3"/>
  <c r="P98" i="3"/>
  <c r="O98" i="3"/>
  <c r="Q97" i="3"/>
  <c r="P97" i="3"/>
  <c r="O97" i="3"/>
  <c r="Q96" i="3"/>
  <c r="P96" i="3"/>
  <c r="O96" i="3"/>
  <c r="Q95" i="3"/>
  <c r="P95" i="3"/>
  <c r="O95" i="3"/>
  <c r="Q94" i="3"/>
  <c r="P94" i="3"/>
  <c r="O94" i="3"/>
  <c r="Q93" i="3"/>
  <c r="P93" i="3"/>
  <c r="O93" i="3"/>
  <c r="Q92" i="3"/>
  <c r="P92" i="3"/>
  <c r="O92" i="3"/>
  <c r="Q91" i="3"/>
  <c r="P91" i="3"/>
  <c r="O91" i="3"/>
  <c r="Q90" i="3"/>
  <c r="P90" i="3"/>
  <c r="O90" i="3"/>
  <c r="Q89" i="3"/>
  <c r="P89" i="3"/>
  <c r="O89" i="3"/>
  <c r="Q88" i="3"/>
  <c r="P88" i="3"/>
  <c r="O88" i="3"/>
  <c r="Q87" i="3"/>
  <c r="P87" i="3"/>
  <c r="O87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71" i="3"/>
  <c r="P71" i="3"/>
  <c r="O71" i="3"/>
  <c r="Q70" i="3"/>
  <c r="P70" i="3"/>
  <c r="O70" i="3"/>
  <c r="Q69" i="3"/>
  <c r="P69" i="3"/>
  <c r="O69" i="3"/>
  <c r="Q68" i="3"/>
  <c r="P68" i="3"/>
  <c r="O68" i="3"/>
  <c r="Q67" i="3"/>
  <c r="P67" i="3"/>
  <c r="O67" i="3"/>
  <c r="Q66" i="3"/>
  <c r="P66" i="3"/>
  <c r="O66" i="3"/>
  <c r="Q65" i="3"/>
  <c r="P65" i="3"/>
  <c r="O65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9" i="3"/>
  <c r="P49" i="3"/>
  <c r="O49" i="3"/>
  <c r="Q48" i="3"/>
  <c r="P48" i="3"/>
  <c r="O48" i="3"/>
  <c r="Q47" i="3"/>
  <c r="P47" i="3"/>
  <c r="O47" i="3"/>
  <c r="Q46" i="3"/>
  <c r="P46" i="3"/>
  <c r="O46" i="3"/>
  <c r="Q45" i="3"/>
  <c r="P45" i="3"/>
  <c r="O45" i="3"/>
  <c r="Q44" i="3"/>
  <c r="P44" i="3"/>
  <c r="O44" i="3"/>
  <c r="Q43" i="3"/>
  <c r="P43" i="3"/>
  <c r="O43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Q5" i="3"/>
  <c r="P5" i="3"/>
  <c r="O5" i="3"/>
  <c r="N3" i="3"/>
  <c r="M3" i="3"/>
  <c r="L3" i="3"/>
  <c r="K3" i="3"/>
  <c r="J3" i="3"/>
  <c r="I3" i="3"/>
  <c r="H3" i="3"/>
  <c r="G3" i="3"/>
  <c r="F3" i="3"/>
  <c r="E3" i="3"/>
  <c r="BN27" i="1"/>
  <c r="BM27" i="1"/>
  <c r="BL27" i="1"/>
  <c r="BK27" i="1"/>
  <c r="BJ27" i="1"/>
  <c r="BI27" i="1"/>
  <c r="BH27" i="1"/>
  <c r="BG27" i="1"/>
  <c r="BE27" i="1"/>
  <c r="BD27" i="1"/>
  <c r="BC27" i="1"/>
  <c r="BB27" i="1"/>
  <c r="BA27" i="1"/>
  <c r="AZ27" i="1"/>
  <c r="BN26" i="1"/>
  <c r="BM26" i="1"/>
  <c r="BL26" i="1"/>
  <c r="BK26" i="1"/>
  <c r="BJ26" i="1"/>
  <c r="BI26" i="1"/>
  <c r="BH26" i="1"/>
  <c r="BG26" i="1"/>
  <c r="BE26" i="1"/>
  <c r="BD26" i="1"/>
  <c r="BC26" i="1"/>
  <c r="BB26" i="1"/>
  <c r="BA26" i="1"/>
  <c r="AZ26" i="1"/>
  <c r="CM26" i="1"/>
  <c r="CN26" i="1" s="1"/>
  <c r="BN25" i="1"/>
  <c r="BM25" i="1"/>
  <c r="BL25" i="1"/>
  <c r="BK25" i="1"/>
  <c r="BJ25" i="1"/>
  <c r="BI25" i="1"/>
  <c r="BH25" i="1"/>
  <c r="BG25" i="1"/>
  <c r="BE25" i="1"/>
  <c r="BD25" i="1"/>
  <c r="BC25" i="1"/>
  <c r="BB25" i="1"/>
  <c r="BA25" i="1"/>
  <c r="AZ25" i="1"/>
  <c r="BN24" i="1"/>
  <c r="BM24" i="1"/>
  <c r="BL24" i="1"/>
  <c r="BK24" i="1"/>
  <c r="BJ24" i="1"/>
  <c r="BI24" i="1"/>
  <c r="BH24" i="1"/>
  <c r="BG24" i="1"/>
  <c r="BE24" i="1"/>
  <c r="BD24" i="1"/>
  <c r="BC24" i="1"/>
  <c r="BB24" i="1"/>
  <c r="BA24" i="1"/>
  <c r="AZ24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L23" i="1"/>
  <c r="G23" i="1"/>
  <c r="C23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L22" i="1"/>
  <c r="G22" i="1"/>
  <c r="C22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L21" i="1"/>
  <c r="G21" i="1"/>
  <c r="C21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L20" i="1"/>
  <c r="G20" i="1"/>
  <c r="C20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L19" i="1"/>
  <c r="G19" i="1"/>
  <c r="C19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L18" i="1"/>
  <c r="G18" i="1"/>
  <c r="C18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L17" i="1"/>
  <c r="G17" i="1"/>
  <c r="C17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L16" i="1"/>
  <c r="G16" i="1"/>
  <c r="C16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L15" i="1"/>
  <c r="G15" i="1"/>
  <c r="C15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L14" i="1"/>
  <c r="G14" i="1"/>
  <c r="C14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L13" i="1"/>
  <c r="G13" i="1"/>
  <c r="C13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L12" i="1"/>
  <c r="G12" i="1"/>
  <c r="C12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L11" i="1"/>
  <c r="G11" i="1"/>
  <c r="C11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L10" i="1"/>
  <c r="G10" i="1"/>
  <c r="C10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V9" i="1"/>
  <c r="AU9" i="1"/>
  <c r="AT9" i="1"/>
  <c r="AS9" i="1"/>
  <c r="AR9" i="1"/>
  <c r="AQ9" i="1"/>
  <c r="AP9" i="1"/>
  <c r="AO9" i="1"/>
  <c r="AN9" i="1"/>
  <c r="AM9" i="1"/>
  <c r="AL9" i="1"/>
  <c r="AK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L9" i="1"/>
  <c r="G9" i="1"/>
  <c r="C9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V8" i="1"/>
  <c r="AU8" i="1"/>
  <c r="AT8" i="1"/>
  <c r="AS8" i="1"/>
  <c r="AR8" i="1"/>
  <c r="AQ8" i="1"/>
  <c r="AP8" i="1"/>
  <c r="AO8" i="1"/>
  <c r="AN8" i="1"/>
  <c r="AM8" i="1"/>
  <c r="AL8" i="1"/>
  <c r="AK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L8" i="1"/>
  <c r="G8" i="1"/>
  <c r="C8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V7" i="1"/>
  <c r="AU7" i="1"/>
  <c r="AT7" i="1"/>
  <c r="AS7" i="1"/>
  <c r="AR7" i="1"/>
  <c r="AQ7" i="1"/>
  <c r="AP7" i="1"/>
  <c r="AO7" i="1"/>
  <c r="AN7" i="1"/>
  <c r="AM7" i="1"/>
  <c r="AL7" i="1"/>
  <c r="AK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L7" i="1"/>
  <c r="G7" i="1"/>
  <c r="C7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V6" i="1"/>
  <c r="AU6" i="1"/>
  <c r="AT6" i="1"/>
  <c r="AS6" i="1"/>
  <c r="AR6" i="1"/>
  <c r="AQ6" i="1"/>
  <c r="AP6" i="1"/>
  <c r="AO6" i="1"/>
  <c r="AN6" i="1"/>
  <c r="AM6" i="1"/>
  <c r="AL6" i="1"/>
  <c r="AK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L6" i="1"/>
  <c r="G6" i="1"/>
  <c r="C6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V5" i="1"/>
  <c r="AU5" i="1"/>
  <c r="AT5" i="1"/>
  <c r="AS5" i="1"/>
  <c r="AR5" i="1"/>
  <c r="AQ5" i="1"/>
  <c r="AP5" i="1"/>
  <c r="AO5" i="1"/>
  <c r="AN5" i="1"/>
  <c r="AM5" i="1"/>
  <c r="AL5" i="1"/>
  <c r="AK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L5" i="1"/>
  <c r="G5" i="1"/>
  <c r="C5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V4" i="1"/>
  <c r="AU4" i="1"/>
  <c r="AT4" i="1"/>
  <c r="AS4" i="1"/>
  <c r="AR4" i="1"/>
  <c r="AQ4" i="1"/>
  <c r="AP4" i="1"/>
  <c r="AO4" i="1"/>
  <c r="AN4" i="1"/>
  <c r="AM4" i="1"/>
  <c r="AL4" i="1"/>
  <c r="AK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L4" i="1"/>
  <c r="G4" i="1"/>
  <c r="C4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V3" i="1"/>
  <c r="AU3" i="1"/>
  <c r="AT3" i="1"/>
  <c r="AS3" i="1"/>
  <c r="AR3" i="1"/>
  <c r="AQ3" i="1"/>
  <c r="AP3" i="1"/>
  <c r="AO3" i="1"/>
  <c r="AN3" i="1"/>
  <c r="AM3" i="1"/>
  <c r="AL3" i="1"/>
  <c r="AK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L3" i="1"/>
  <c r="G3" i="1"/>
  <c r="C3" i="1"/>
  <c r="CH2" i="1"/>
  <c r="CG2" i="1"/>
  <c r="BZ2" i="1"/>
  <c r="BY2" i="1"/>
  <c r="BX2" i="1"/>
  <c r="BW2" i="1"/>
  <c r="BV2" i="1"/>
  <c r="BU2" i="1"/>
  <c r="BT2" i="1"/>
  <c r="BQ2" i="1"/>
  <c r="BP2" i="1"/>
  <c r="BO2" i="1"/>
</calcChain>
</file>

<file path=xl/sharedStrings.xml><?xml version="1.0" encoding="utf-8"?>
<sst xmlns="http://schemas.openxmlformats.org/spreadsheetml/2006/main" count="944" uniqueCount="135">
  <si>
    <t>PERIODO</t>
  </si>
  <si>
    <t>kWh BASE</t>
  </si>
  <si>
    <t>kWh INTERMEDIA</t>
  </si>
  <si>
    <t>kWh PUNTA</t>
  </si>
  <si>
    <t>kW BASE</t>
  </si>
  <si>
    <t>kW INTERMEDIA</t>
  </si>
  <si>
    <t>kW PUNTA</t>
  </si>
  <si>
    <t xml:space="preserve">NET MET </t>
  </si>
  <si>
    <t>DÍAS</t>
  </si>
  <si>
    <t>HSP (NASA)</t>
  </si>
  <si>
    <t>EFICIENCIA</t>
  </si>
  <si>
    <t>VERANO</t>
  </si>
  <si>
    <t>INVIERNO</t>
  </si>
  <si>
    <t>PRIMER DOMINGO DE ABRIL</t>
  </si>
  <si>
    <t>ÚLTIMO SÁBADO DE OCTUBRE</t>
  </si>
  <si>
    <t>ÚLTIMO DOMINGO DE OCTUBRE</t>
  </si>
  <si>
    <t>PRIMER SÁBADO DE ABRIL</t>
  </si>
  <si>
    <t>TEMPORADA</t>
  </si>
  <si>
    <t>NOVIEMBRE</t>
  </si>
  <si>
    <t xml:space="preserve">DICIEMBRE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</si>
  <si>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</si>
  <si>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</si>
  <si>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</si>
  <si>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</si>
  <si>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</si>
  <si>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</si>
  <si>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</si>
  <si>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</si>
  <si>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</si>
  <si>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</si>
  <si>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MES</t>
  </si>
  <si>
    <t>LUNES A VIERNES</t>
  </si>
  <si>
    <t xml:space="preserve">BASE </t>
  </si>
  <si>
    <t xml:space="preserve">INTERMEDIO </t>
  </si>
  <si>
    <t>PUNTA</t>
  </si>
  <si>
    <t>SIN</t>
  </si>
  <si>
    <t>SÁBADO</t>
  </si>
  <si>
    <t>DOMINGO Y FESTIVO</t>
  </si>
  <si>
    <t>CONTRAPRESTACIÓN</t>
  </si>
  <si>
    <t>DÍA</t>
  </si>
  <si>
    <t xml:space="preserve">AÑO </t>
  </si>
  <si>
    <t>DÍA DE LA SEMANA</t>
  </si>
  <si>
    <t>MIÉRCOLES</t>
  </si>
  <si>
    <t>JUEVES</t>
  </si>
  <si>
    <t>VIERNES</t>
  </si>
  <si>
    <t>DOMINGO</t>
  </si>
  <si>
    <t>LUNES</t>
  </si>
  <si>
    <t>MARTES</t>
  </si>
  <si>
    <t>DICIEMBRE</t>
  </si>
  <si>
    <t>BASE</t>
  </si>
  <si>
    <t>INTERMEDIO</t>
  </si>
  <si>
    <t>TOTALES</t>
  </si>
  <si>
    <t xml:space="preserve">HORAS SOLARES </t>
  </si>
  <si>
    <t>TOTAL DE HORAS</t>
  </si>
  <si>
    <t>PERIODO HORARIO</t>
  </si>
  <si>
    <t>HORAS BASE SOLARES</t>
  </si>
  <si>
    <t>HORAS INTERMEDIA SOLARES</t>
  </si>
  <si>
    <t>HORAS BASE</t>
  </si>
  <si>
    <t>HORAS INTERMEDIA</t>
  </si>
  <si>
    <t xml:space="preserve">HORAS PUNTA </t>
  </si>
  <si>
    <t>kWh total</t>
  </si>
  <si>
    <t>kW MÁX</t>
  </si>
  <si>
    <t>kVARh</t>
  </si>
  <si>
    <t>FP</t>
  </si>
  <si>
    <t>TOTAL A PAGAR (MXN)</t>
  </si>
  <si>
    <t>CONSUMO BASE EN HORAS SOLARES</t>
  </si>
  <si>
    <t>CONSUMO INTERMEDIO EN HORAS SOLARES</t>
  </si>
  <si>
    <t>PSFV 100%</t>
  </si>
  <si>
    <t>#MÓDULOS 100%</t>
  </si>
  <si>
    <t>PSFV PERIODO INTERMEDIO</t>
  </si>
  <si>
    <t># MÓDULOS PERIODO INTERMEDIO</t>
  </si>
  <si>
    <t>PSFV HORAS SOLARES</t>
  </si>
  <si>
    <t>#MÓDULOS HORAS SOLARES</t>
  </si>
  <si>
    <t>POTENCIA DEL MÓDULO (kW)</t>
  </si>
  <si>
    <t>MÁX</t>
  </si>
  <si>
    <t>MÍN</t>
  </si>
  <si>
    <t>PROMEDIO</t>
  </si>
  <si>
    <t>PERCENTIL 95%</t>
  </si>
  <si>
    <t>SISTEMA PROPUESTO (kW)</t>
  </si>
  <si>
    <t>EXCEDENTES/FALTANTES PROYECTADOS</t>
  </si>
  <si>
    <t>PORCENTAJE DE ABATIMIENTO DE CONSUMO ENERGÉTICO</t>
  </si>
  <si>
    <t>GENERACIÓN CON SFV PROPUESTO (kWh)</t>
  </si>
  <si>
    <t>NUEVO CONSUMO ESPERADO (kWh)</t>
  </si>
  <si>
    <t>CONSUMO EN HORAS SOLARES (kWh)</t>
  </si>
  <si>
    <t>%CONSUMO EN HORAS SOLARES RESPECTO AL CONSUMO TOTAL</t>
  </si>
  <si>
    <t>TOTAL DE HORAS SOLARES</t>
  </si>
  <si>
    <t>INTERVALO DE CONSUMO</t>
  </si>
  <si>
    <t>ENERGÍA</t>
  </si>
  <si>
    <t>POTENCIA</t>
  </si>
  <si>
    <t>REACTIVA Y FP</t>
  </si>
  <si>
    <t xml:space="preserve">MODALIDAD </t>
  </si>
  <si>
    <t>HORAS POR PERIODO</t>
  </si>
  <si>
    <t>CONSUMO EN HORAS SOLARES</t>
  </si>
  <si>
    <t>SISTEMAS FOTOVOLTAICOS</t>
  </si>
  <si>
    <t>SISTEMA PROPUESTO</t>
  </si>
  <si>
    <t>NUEVO CONSUMO ESPERADO EN BASE (kWh)</t>
  </si>
  <si>
    <t>NUEVO CONSUMO ESPERADO EN INTERMEDIO (kWh)</t>
  </si>
  <si>
    <t>%CONSUMO EN BASE RESPECTO AL TOTAL EN HORAS SOLARES</t>
  </si>
  <si>
    <t>%CONSUMO EN INTERMEDIO RESPECTO AL TOTAL EN HORAS SOLARES</t>
  </si>
  <si>
    <t>GENERACIÓN CON SFV EN BASE</t>
  </si>
  <si>
    <t>GENERACIÓN CON SFV EN INTERMEDIA</t>
  </si>
  <si>
    <t>FIJOS</t>
  </si>
  <si>
    <t>CARGO FIJO ($/MES)</t>
  </si>
  <si>
    <t>kWh BASE ($/kWh)</t>
  </si>
  <si>
    <t>kWh INTERMEDIA ($/kWh)</t>
  </si>
  <si>
    <t>kWh PUNTA ($/kWh)</t>
  </si>
  <si>
    <t>DISTRIBUCIÓN ($/kW)</t>
  </si>
  <si>
    <t>CAPACIDAD ($/kW)</t>
  </si>
  <si>
    <t>POTENCIA CALCULADA</t>
  </si>
  <si>
    <t>POTENCIA PARA EL CARGO POR CAPACIDAD</t>
  </si>
  <si>
    <t>POTENCIA PARA EL CARGO POR DISTRIBUCIÓN</t>
  </si>
  <si>
    <t>CARGO CAPACIDAD-DISTRIBUCIÓN</t>
  </si>
  <si>
    <t>$ BASE</t>
  </si>
  <si>
    <t>$ INTERMEDIO</t>
  </si>
  <si>
    <t>$ DISTRIBUCIÓN</t>
  </si>
  <si>
    <t>$ CAPACIDAD</t>
  </si>
  <si>
    <t>$ PUNTA</t>
  </si>
  <si>
    <t>$ ENERGÍA</t>
  </si>
  <si>
    <t>FACTOR DE POTENCIA</t>
  </si>
  <si>
    <t>$ FP</t>
  </si>
  <si>
    <t>SUBTOTAL</t>
  </si>
  <si>
    <t>IVA 16%</t>
  </si>
  <si>
    <t>DAP</t>
  </si>
  <si>
    <t>TOTAL</t>
  </si>
  <si>
    <t>FACTURACIÓN CALCULADA</t>
  </si>
  <si>
    <t>FACTURACIÓN RECIBO</t>
  </si>
  <si>
    <t>kWh TOTAL</t>
  </si>
  <si>
    <t>POTENCIA CALCULADA (kW)</t>
  </si>
  <si>
    <t>AHORRO</t>
  </si>
  <si>
    <t>AHORRO ESTIMADO</t>
  </si>
  <si>
    <t>INVERSIÓN</t>
  </si>
  <si>
    <t>PROMEDIO/MES</t>
  </si>
  <si>
    <t>RETORNO DE INVERSIÓN MES</t>
  </si>
  <si>
    <t>RETORNO DE INVERSIÓN AÑOS</t>
  </si>
  <si>
    <t>TOTAL A PAGAR CON SISTEMA FOTOVOLTAICO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</si>
</sst>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F400]h:mm:ss\ AM/PM"/>
    <numFmt numFmtId="166" formatCode="[$-F800]dddd\,\ mmmm\ dd\,\ yyyy"/>
    <numFmt numFmtId="167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10" fontId="1" fillId="8" borderId="1" xfId="0" applyNumberFormat="1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67" fontId="1" fillId="5" borderId="1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2" fontId="1" fillId="2" borderId="14" xfId="0" applyNumberFormat="1" applyFont="1" applyFill="1" applyBorder="1" applyAlignment="1">
      <alignment horizontal="center" vertical="center" wrapText="1"/>
    </xf>
    <xf numFmtId="1" fontId="1" fillId="2" borderId="14" xfId="0" applyNumberFormat="1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1" fontId="1" fillId="8" borderId="14" xfId="0" applyNumberFormat="1" applyFont="1" applyFill="1" applyBorder="1" applyAlignment="1">
      <alignment horizontal="center" vertical="center" wrapText="1"/>
    </xf>
    <xf numFmtId="10" fontId="1" fillId="8" borderId="14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67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GRÁFICO</a:t>
            </a:r>
            <a:r>
              <a:rPr lang="es-MX" baseline="0"/>
              <a:t> DE CONSUMO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Hoja1!$D$2</c:f>
              <c:strCache>
                <c:ptCount val="1"/>
                <c:pt idx="0">
                  <c:v>kWh BASE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Hoja1!$D$3:$D$23</c:f>
              <c:numCache>
                <c:formatCode>General</c:formatCode>
                <c:ptCount val="21"/>
                <c:pt idx="0">
                  <c:v>274750</c:v>
                </c:pt>
                <c:pt idx="1">
                  <c:v>304500</c:v>
                </c:pt>
                <c:pt idx="2">
                  <c:v>339500</c:v>
                </c:pt>
                <c:pt idx="3">
                  <c:v>337750</c:v>
                </c:pt>
                <c:pt idx="4">
                  <c:v>339153</c:v>
                </c:pt>
                <c:pt idx="5">
                  <c:v>336156</c:v>
                </c:pt>
                <c:pt idx="6">
                  <c:v>312310</c:v>
                </c:pt>
                <c:pt idx="7">
                  <c:v>332002</c:v>
                </c:pt>
                <c:pt idx="8">
                  <c:v>330471</c:v>
                </c:pt>
                <c:pt idx="9">
                  <c:v>321208</c:v>
                </c:pt>
                <c:pt idx="10">
                  <c:v>317744</c:v>
                </c:pt>
                <c:pt idx="11">
                  <c:v>266857</c:v>
                </c:pt>
                <c:pt idx="12">
                  <c:v>290568</c:v>
                </c:pt>
                <c:pt idx="13">
                  <c:v>281455</c:v>
                </c:pt>
                <c:pt idx="14">
                  <c:v>315921</c:v>
                </c:pt>
                <c:pt idx="15">
                  <c:v>229333</c:v>
                </c:pt>
                <c:pt idx="16">
                  <c:v>314014</c:v>
                </c:pt>
                <c:pt idx="17">
                  <c:v>309392</c:v>
                </c:pt>
                <c:pt idx="18">
                  <c:v>292181</c:v>
                </c:pt>
                <c:pt idx="19">
                  <c:v>312212</c:v>
                </c:pt>
                <c:pt idx="20">
                  <c:v>283090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B-45BB-8491-6FD6B519B455}"/>
            </c:ext>
          </c:extLst>
        </c:ser>
        <c:ser>
          <c:idx val="2"/>
          <c:order val="2"/>
          <c:tx>
            <c:strRef>
              <c:f>Hoja1!$E$2</c:f>
              <c:strCache>
                <c:ptCount val="1"/>
                <c:pt idx="0">
                  <c:v>kWh INTERMEDIA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Hoja1!$E$3:$E$23</c:f>
              <c:numCache>
                <c:formatCode>General</c:formatCode>
                <c:ptCount val="21"/>
                <c:pt idx="0">
                  <c:v>528463</c:v>
                </c:pt>
                <c:pt idx="1">
                  <c:v>560167</c:v>
                </c:pt>
                <c:pt idx="2">
                  <c:v>643769</c:v>
                </c:pt>
                <c:pt idx="3">
                  <c:v>712401</c:v>
                </c:pt>
                <c:pt idx="4">
                  <c:v>667425</c:v>
                </c:pt>
                <c:pt idx="5">
                  <c:v>663345</c:v>
                </c:pt>
                <c:pt idx="6">
                  <c:v>685539</c:v>
                </c:pt>
                <c:pt idx="7">
                  <c:v>706495</c:v>
                </c:pt>
                <c:pt idx="8">
                  <c:v>633961</c:v>
                </c:pt>
                <c:pt idx="9">
                  <c:v>640990</c:v>
                </c:pt>
                <c:pt idx="10">
                  <c:v>547998</c:v>
                </c:pt>
                <c:pt idx="11">
                  <c:v>421137</c:v>
                </c:pt>
                <c:pt idx="12">
                  <c:v>539148</c:v>
                </c:pt>
                <c:pt idx="13">
                  <c:v>480769</c:v>
                </c:pt>
                <c:pt idx="14">
                  <c:v>524576</c:v>
                </c:pt>
                <c:pt idx="15">
                  <c:v>467943</c:v>
                </c:pt>
                <c:pt idx="16">
                  <c:v>631629</c:v>
                </c:pt>
                <c:pt idx="17">
                  <c:v>617882</c:v>
                </c:pt>
                <c:pt idx="18">
                  <c:v>637645</c:v>
                </c:pt>
                <c:pt idx="19">
                  <c:v>636185</c:v>
                </c:pt>
                <c:pt idx="20">
                  <c:v>603860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0B-45BB-8491-6FD6B519B455}"/>
            </c:ext>
          </c:extLst>
        </c:ser>
        <c:ser>
          <c:idx val="3"/>
          <c:order val="3"/>
          <c:tx>
            <c:strRef>
              <c:f>Hoja1!$F$2</c:f>
              <c:strCache>
                <c:ptCount val="1"/>
                <c:pt idx="0">
                  <c:v>kWh PUNTA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Hoja1!$F$3:$F$23</c:f>
              <c:numCache>
                <c:formatCode>General</c:formatCode>
                <c:ptCount val="21"/>
                <c:pt idx="0">
                  <c:v>141986</c:v>
                </c:pt>
                <c:pt idx="1">
                  <c:v>150228</c:v>
                </c:pt>
                <c:pt idx="2">
                  <c:v>160629</c:v>
                </c:pt>
                <c:pt idx="3">
                  <c:v>92039</c:v>
                </c:pt>
                <c:pt idx="4">
                  <c:v>73815</c:v>
                </c:pt>
                <c:pt idx="5">
                  <c:v>72019</c:v>
                </c:pt>
                <c:pt idx="6">
                  <c:v>78527</c:v>
                </c:pt>
                <c:pt idx="7">
                  <c:v>78101</c:v>
                </c:pt>
                <c:pt idx="8">
                  <c:v>69105</c:v>
                </c:pt>
                <c:pt idx="9">
                  <c:v>87420</c:v>
                </c:pt>
                <c:pt idx="10">
                  <c:v>149661</c:v>
                </c:pt>
                <c:pt idx="11">
                  <c:v>115374</c:v>
                </c:pt>
                <c:pt idx="12">
                  <c:v>150493</c:v>
                </c:pt>
                <c:pt idx="13">
                  <c:v>137541</c:v>
                </c:pt>
                <c:pt idx="14">
                  <c:v>145990</c:v>
                </c:pt>
                <c:pt idx="15">
                  <c:v>56501</c:v>
                </c:pt>
                <c:pt idx="16">
                  <c:v>71617</c:v>
                </c:pt>
                <c:pt idx="17">
                  <c:v>69202</c:v>
                </c:pt>
                <c:pt idx="18">
                  <c:v>73589</c:v>
                </c:pt>
                <c:pt idx="19">
                  <c:v>68684</c:v>
                </c:pt>
                <c:pt idx="20">
                  <c:v>67117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0B-45BB-8491-6FD6B519B455}"/>
            </c:ext>
          </c:extLst>
        </c:ser>
        <c:ser>
          <c:idx val="4"/>
          <c:order val="4"/>
          <c:tx>
            <c:strRef>
              <c:f>Hoja1!$G$2</c:f>
              <c:strCache>
                <c:ptCount val="1"/>
                <c:pt idx="0">
                  <c:v>kWh 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Hoja1!$G$3:$G$23</c:f>
              <c:numCache>
                <c:formatCode>General</c:formatCode>
                <c:ptCount val="21"/>
                <c:pt idx="0">
                  <c:v>945199</c:v>
                </c:pt>
                <c:pt idx="1">
                  <c:v>1014895</c:v>
                </c:pt>
                <c:pt idx="2">
                  <c:v>1143898</c:v>
                </c:pt>
                <c:pt idx="3">
                  <c:v>1142190</c:v>
                </c:pt>
                <c:pt idx="4">
                  <c:v>1080393</c:v>
                </c:pt>
                <c:pt idx="5">
                  <c:v>1071520</c:v>
                </c:pt>
                <c:pt idx="6">
                  <c:v>1076376</c:v>
                </c:pt>
                <c:pt idx="7">
                  <c:v>1116598</c:v>
                </c:pt>
                <c:pt idx="8">
                  <c:v>1033537</c:v>
                </c:pt>
                <c:pt idx="9">
                  <c:v>1049618</c:v>
                </c:pt>
                <c:pt idx="10">
                  <c:v>1015403</c:v>
                </c:pt>
                <c:pt idx="11">
                  <c:v>803368</c:v>
                </c:pt>
                <c:pt idx="12">
                  <c:v>980209</c:v>
                </c:pt>
                <c:pt idx="13">
                  <c:v>899765</c:v>
                </c:pt>
                <c:pt idx="14">
                  <c:v>986487</c:v>
                </c:pt>
                <c:pt idx="15">
                  <c:v>753777</c:v>
                </c:pt>
                <c:pt idx="16">
                  <c:v>1017260</c:v>
                </c:pt>
                <c:pt idx="17">
                  <c:v>996476</c:v>
                </c:pt>
                <c:pt idx="18">
                  <c:v>1003415</c:v>
                </c:pt>
                <c:pt idx="19">
                  <c:v>1017081</c:v>
                </c:pt>
                <c:pt idx="20">
                  <c:v>954067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0B-45BB-8491-6FD6B519B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9444256"/>
        <c:axId val="1849463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Hoja1!$C$2</c15:sqref>
                        </c15:formulaRef>
                      </c:ext>
                    </c:extLst>
                    <c:strCache>
                      <c:ptCount val="1"/>
                      <c:pt idx="0">
                        <c:v>DÍAS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Hoja1!$B$3:$B$23</c15:sqref>
                        </c15:formulaRef>
                      </c:ext>
                    </c:extLst>
                    <c:numCache>
                      <c:formatCode>m/d/yyyy</c:formatCode>
                      <c:ptCount val="21"/>
                      <c:pt idx="0">
                        <c:v>45322</c:v>
                      </c:pt>
                      <c:pt idx="1">
                        <c:v>45351</c:v>
                      </c:pt>
                      <c:pt idx="2">
                        <c:v>45382</c:v>
                      </c:pt>
                      <c:pt idx="3">
                        <c:v>45412</c:v>
                      </c:pt>
                      <c:pt idx="4">
                        <c:v>45443</c:v>
                      </c:pt>
                      <c:pt idx="5">
                        <c:v>45473</c:v>
                      </c:pt>
                      <c:pt idx="6">
                        <c:v>45504</c:v>
                      </c:pt>
                      <c:pt idx="7">
                        <c:v>45535</c:v>
                      </c:pt>
                      <c:pt idx="8">
                        <c:v>45565</c:v>
                      </c:pt>
                      <c:pt idx="9">
                        <c:v>45596</c:v>
                      </c:pt>
                      <c:pt idx="10">
                        <c:v>45626</c:v>
                      </c:pt>
                      <c:pt idx="11">
                        <c:v>45657</c:v>
                      </c:pt>
                      <c:pt idx="12">
                        <c:v>45688</c:v>
                      </c:pt>
                      <c:pt idx="13">
                        <c:v>45716</c:v>
                      </c:pt>
                      <c:pt idx="14">
                        <c:v>45747</c:v>
                      </c:pt>
                      <c:pt idx="15">
                        <c:v>45777</c:v>
                      </c:pt>
                      <c:pt idx="16">
                        <c:v>45808</c:v>
                      </c:pt>
                      <c:pt idx="17">
                        <c:v>45838</c:v>
                      </c:pt>
                      <c:pt idx="18">
                        <c:v>45869</c:v>
                      </c:pt>
                      <c:pt idx="19">
                        <c:v>45900</c:v>
                      </c:pt>
                      <c:pt idx="20">
                        <c:v>45930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Hoja1!$C$3:$C$23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31</c:v>
                      </c:pt>
                      <c:pt idx="1">
                        <c:v>29</c:v>
                      </c:pt>
                      <c:pt idx="2">
                        <c:v>31</c:v>
                      </c:pt>
                      <c:pt idx="3">
                        <c:v>30</c:v>
                      </c:pt>
                      <c:pt idx="4">
                        <c:v>31</c:v>
                      </c:pt>
                      <c:pt idx="5">
                        <c:v>30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31</c:v>
                      </c:pt>
                      <c:pt idx="12">
                        <c:v>31</c:v>
                      </c:pt>
                      <c:pt idx="13">
                        <c:v>28</c:v>
                      </c:pt>
                      <c:pt idx="14">
                        <c:v>31</c:v>
                      </c:pt>
                      <c:pt idx="15">
                        <c:v>30</c:v>
                      </c:pt>
                      <c:pt idx="16">
                        <c:v>31</c:v>
                      </c:pt>
                      <c:pt idx="17">
                        <c:v>30</c:v>
                      </c:pt>
                      <c:pt idx="18">
                        <c:v>31</c:v>
                      </c:pt>
                      <c:pt idx="19">
                        <c:v>31</c:v>
                      </c:pt>
                      <c:pt idx="20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60B-45BB-8491-6FD6B519B455}"/>
                  </c:ext>
                </c:extLst>
              </c15:ser>
            </c15:filteredLineSeries>
          </c:ext>
        </c:extLst>
      </c:lineChart>
      <c:dateAx>
        <c:axId val="184944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9463936"/>
        <c:crosses val="autoZero"/>
        <c:auto val="1"/>
        <c:lblOffset val="100"/>
        <c:baseTimeUnit val="months"/>
      </c:dateAx>
      <c:valAx>
        <c:axId val="18494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94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GRÁFICO</a:t>
            </a:r>
            <a:r>
              <a:rPr lang="es-MX" baseline="0"/>
              <a:t> DE CONSUMO TOTAL Y EN HORAS SOLARES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Hoja1!$AK$2</c:f>
              <c:strCache>
                <c:ptCount val="1"/>
                <c:pt idx="0">
                  <c:v>HORAS BASE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Hoja1!$B$3:$AJ$23</c:f>
              <c:multiLvlStrCache>
                <c:ptCount val="21"/>
                <c:lvl>
                  <c:pt idx="7">
                    <c:v>NET MET </c:v>
                  </c:pt>
                  <c:pt idx="8">
                    <c:v>NET MET </c:v>
                  </c:pt>
                  <c:pt idx="9">
                    <c:v>NET MET </c:v>
                  </c:pt>
                  <c:pt idx="10">
                    <c:v>NET MET </c:v>
                  </c:pt>
                  <c:pt idx="11">
                    <c:v>NET MET </c:v>
                  </c:pt>
                  <c:pt idx="12">
                    <c:v>NET MET </c:v>
                  </c:pt>
                  <c:pt idx="13">
                    <c:v>NET MET </c:v>
                  </c:pt>
                  <c:pt idx="14">
                    <c:v>NET MET </c:v>
                  </c:pt>
                  <c:pt idx="15">
                    <c:v>NET MET </c:v>
                  </c:pt>
                  <c:pt idx="16">
                    <c:v>NET MET </c:v>
                  </c:pt>
                  <c:pt idx="17">
                    <c:v>NET MET </c:v>
                  </c:pt>
                  <c:pt idx="18">
                    <c:v>NET MET </c:v>
                  </c:pt>
                  <c:pt idx="19">
                    <c:v>NET MET </c:v>
                  </c:pt>
                  <c:pt idx="20">
                    <c:v>NET MET </c:v>
                  </c:pt>
                </c:lvl>
                <c:lvl>
                  <c:pt idx="0">
                    <c:v>$3,139,386.73</c:v>
                  </c:pt>
                  <c:pt idx="1">
                    <c:v>$3,382,391.85</c:v>
                  </c:pt>
                  <c:pt idx="2">
                    <c:v>$3,654,425.48</c:v>
                  </c:pt>
                  <c:pt idx="3">
                    <c:v>$2,667,773.08</c:v>
                  </c:pt>
                  <c:pt idx="4">
                    <c:v>$3,539,097.01</c:v>
                  </c:pt>
                  <c:pt idx="5">
                    <c:v>$3,535,459.65</c:v>
                  </c:pt>
                  <c:pt idx="6">
                    <c:v>$3,611,655.71</c:v>
                  </c:pt>
                  <c:pt idx="7">
                    <c:v>$3,721,605.57</c:v>
                  </c:pt>
                  <c:pt idx="8">
                    <c:v>$3,470,852.69</c:v>
                  </c:pt>
                  <c:pt idx="9">
                    <c:v>$3,505,262.83</c:v>
                  </c:pt>
                  <c:pt idx="10">
                    <c:v>$3,423,297.38</c:v>
                  </c:pt>
                  <c:pt idx="11">
                    <c:v>$2,879,446.80</c:v>
                  </c:pt>
                  <c:pt idx="12">
                    <c:v>$3,326,870.11</c:v>
                  </c:pt>
                  <c:pt idx="13">
                    <c:v>$3,159,111.38</c:v>
                  </c:pt>
                  <c:pt idx="14">
                    <c:v>$3,360,342.25</c:v>
                  </c:pt>
                  <c:pt idx="15">
                    <c:v>$3,159,586.64</c:v>
                  </c:pt>
                  <c:pt idx="16">
                    <c:v>$3,435,152.63</c:v>
                  </c:pt>
                  <c:pt idx="17">
                    <c:v>$3,469,952.56</c:v>
                  </c:pt>
                  <c:pt idx="18">
                    <c:v>$3,528,886.77</c:v>
                  </c:pt>
                  <c:pt idx="19">
                    <c:v>$3,506,402.47</c:v>
                  </c:pt>
                  <c:pt idx="20">
                    <c:v>$3,145,778.60</c:v>
                  </c:pt>
                </c:lvl>
                <c:lvl>
                  <c:pt idx="0">
                    <c:v>$3,139,385.89</c:v>
                  </c:pt>
                  <c:pt idx="1">
                    <c:v>$3,382,391.13</c:v>
                  </c:pt>
                  <c:pt idx="2">
                    <c:v>$3,654,424.63</c:v>
                  </c:pt>
                  <c:pt idx="3">
                    <c:v>$2,728,638.96</c:v>
                  </c:pt>
                  <c:pt idx="4">
                    <c:v>$3,539,096.92</c:v>
                  </c:pt>
                  <c:pt idx="5">
                    <c:v>$3,535,459.64</c:v>
                  </c:pt>
                  <c:pt idx="6">
                    <c:v>$3,611,655.06</c:v>
                  </c:pt>
                  <c:pt idx="7">
                    <c:v>$3,721,604.85</c:v>
                  </c:pt>
                  <c:pt idx="8">
                    <c:v>$3,470,852.11</c:v>
                  </c:pt>
                  <c:pt idx="9">
                    <c:v>$3,458,352.78</c:v>
                  </c:pt>
                  <c:pt idx="10">
                    <c:v>$3,423,296.55</c:v>
                  </c:pt>
                  <c:pt idx="11">
                    <c:v>$2,879,446.43</c:v>
                  </c:pt>
                  <c:pt idx="12">
                    <c:v>$3,326,869.33</c:v>
                  </c:pt>
                  <c:pt idx="13">
                    <c:v>$3,159,111.26</c:v>
                  </c:pt>
                  <c:pt idx="14">
                    <c:v>$3,360,341.87</c:v>
                  </c:pt>
                  <c:pt idx="15">
                    <c:v>$2,855,734.72</c:v>
                  </c:pt>
                  <c:pt idx="16">
                    <c:v>$3,435,151.97</c:v>
                  </c:pt>
                  <c:pt idx="17">
                    <c:v>$3,469,951.94</c:v>
                  </c:pt>
                  <c:pt idx="18">
                    <c:v>$3,528,886.22</c:v>
                  </c:pt>
                  <c:pt idx="19">
                    <c:v>$3,506,401.69</c:v>
                  </c:pt>
                  <c:pt idx="20">
                    <c:v>$3,362,728.34</c:v>
                  </c:pt>
                </c:lvl>
                <c:lvl>
                  <c:pt idx="0">
                    <c:v>$202,541.03</c:v>
                  </c:pt>
                  <c:pt idx="1">
                    <c:v>$218,218.78</c:v>
                  </c:pt>
                  <c:pt idx="2">
                    <c:v>$235,769.33</c:v>
                  </c:pt>
                  <c:pt idx="3">
                    <c:v>$176,041.22</c:v>
                  </c:pt>
                  <c:pt idx="4">
                    <c:v>$228,328.83</c:v>
                  </c:pt>
                  <c:pt idx="5">
                    <c:v>$228,094.17</c:v>
                  </c:pt>
                  <c:pt idx="6">
                    <c:v>$233,010.00</c:v>
                  </c:pt>
                  <c:pt idx="7">
                    <c:v>$240,103.54</c:v>
                  </c:pt>
                  <c:pt idx="8">
                    <c:v>$223,925.94</c:v>
                  </c:pt>
                  <c:pt idx="9">
                    <c:v>$223,119.53</c:v>
                  </c:pt>
                  <c:pt idx="10">
                    <c:v>$220,857.84</c:v>
                  </c:pt>
                  <c:pt idx="11">
                    <c:v>$185,770.74</c:v>
                  </c:pt>
                  <c:pt idx="12">
                    <c:v>$214,636.73</c:v>
                  </c:pt>
                  <c:pt idx="13">
                    <c:v>$203,813.63</c:v>
                  </c:pt>
                  <c:pt idx="14">
                    <c:v>$216,796.25</c:v>
                  </c:pt>
                  <c:pt idx="15">
                    <c:v>$184,240.95</c:v>
                  </c:pt>
                  <c:pt idx="16">
                    <c:v>$221,622.71</c:v>
                  </c:pt>
                  <c:pt idx="17">
                    <c:v>$223,867.87</c:v>
                  </c:pt>
                  <c:pt idx="18">
                    <c:v>$227,670.08</c:v>
                  </c:pt>
                  <c:pt idx="19">
                    <c:v>$226,219.46</c:v>
                  </c:pt>
                  <c:pt idx="20">
                    <c:v>$216,950.22</c:v>
                  </c:pt>
                </c:lvl>
                <c:lvl>
                  <c:pt idx="0">
                    <c:v>$405,082.05</c:v>
                  </c:pt>
                  <c:pt idx="1">
                    <c:v>$436,437.57</c:v>
                  </c:pt>
                  <c:pt idx="2">
                    <c:v>$471,538.66</c:v>
                  </c:pt>
                  <c:pt idx="3">
                    <c:v>$352,082.45</c:v>
                  </c:pt>
                  <c:pt idx="4">
                    <c:v>$456,657.67</c:v>
                  </c:pt>
                  <c:pt idx="5">
                    <c:v>$456,188.34</c:v>
                  </c:pt>
                  <c:pt idx="6">
                    <c:v>$466,020.01</c:v>
                  </c:pt>
                  <c:pt idx="7">
                    <c:v>$480,207.08</c:v>
                  </c:pt>
                  <c:pt idx="8">
                    <c:v>$447,851.89</c:v>
                  </c:pt>
                  <c:pt idx="9">
                    <c:v>$446,239.07</c:v>
                  </c:pt>
                  <c:pt idx="10">
                    <c:v>$441,715.68</c:v>
                  </c:pt>
                  <c:pt idx="11">
                    <c:v>$371,541.47</c:v>
                  </c:pt>
                  <c:pt idx="12">
                    <c:v>$429,273.46</c:v>
                  </c:pt>
                  <c:pt idx="13">
                    <c:v>$407,627.26</c:v>
                  </c:pt>
                  <c:pt idx="14">
                    <c:v>$433,592.50</c:v>
                  </c:pt>
                  <c:pt idx="15">
                    <c:v>$368,481.90</c:v>
                  </c:pt>
                  <c:pt idx="16">
                    <c:v>$443,245.42</c:v>
                  </c:pt>
                  <c:pt idx="17">
                    <c:v>$447,735.73</c:v>
                  </c:pt>
                  <c:pt idx="18">
                    <c:v>$455,340.16</c:v>
                  </c:pt>
                  <c:pt idx="19">
                    <c:v>$452,438.93</c:v>
                  </c:pt>
                  <c:pt idx="20">
                    <c:v>$433,900.43</c:v>
                  </c:pt>
                </c:lvl>
                <c:lvl>
                  <c:pt idx="0">
                    <c:v>$2,531,762.82</c:v>
                  </c:pt>
                  <c:pt idx="1">
                    <c:v>$2,727,734.78</c:v>
                  </c:pt>
                  <c:pt idx="2">
                    <c:v>$2,947,116.63</c:v>
                  </c:pt>
                  <c:pt idx="3">
                    <c:v>$2,200,515.29</c:v>
                  </c:pt>
                  <c:pt idx="4">
                    <c:v>$2,854,110.42</c:v>
                  </c:pt>
                  <c:pt idx="5">
                    <c:v>$2,851,177.13</c:v>
                  </c:pt>
                  <c:pt idx="6">
                    <c:v>$2,912,625.05</c:v>
                  </c:pt>
                  <c:pt idx="7">
                    <c:v>$3,001,294.23</c:v>
                  </c:pt>
                  <c:pt idx="8">
                    <c:v>$2,799,074.29</c:v>
                  </c:pt>
                  <c:pt idx="9">
                    <c:v>$2,788,994.18</c:v>
                  </c:pt>
                  <c:pt idx="10">
                    <c:v>$2,760,723.02</c:v>
                  </c:pt>
                  <c:pt idx="11">
                    <c:v>$2,322,134.22</c:v>
                  </c:pt>
                  <c:pt idx="12">
                    <c:v>$2,682,959.14</c:v>
                  </c:pt>
                  <c:pt idx="13">
                    <c:v>$2,547,670.37</c:v>
                  </c:pt>
                  <c:pt idx="14">
                    <c:v>$2,709,953.12</c:v>
                  </c:pt>
                  <c:pt idx="15">
                    <c:v>$2,303,011.87</c:v>
                  </c:pt>
                  <c:pt idx="16">
                    <c:v>$2,770,283.84</c:v>
                  </c:pt>
                  <c:pt idx="17">
                    <c:v>$2,798,348.34</c:v>
                  </c:pt>
                  <c:pt idx="18">
                    <c:v>$2,845,875.98</c:v>
                  </c:pt>
                  <c:pt idx="19">
                    <c:v>$2,827,743.30</c:v>
                  </c:pt>
                  <c:pt idx="20">
                    <c:v>$2,711,877.70</c:v>
                  </c:pt>
                </c:lvl>
                <c:lvl>
                  <c:pt idx="0">
                    <c:v>$7,572.57</c:v>
                  </c:pt>
                  <c:pt idx="1">
                    <c:v>$13,570.82</c:v>
                  </c:pt>
                  <c:pt idx="2">
                    <c:v>$14,662.27</c:v>
                  </c:pt>
                  <c:pt idx="3">
                    <c:v>$0.00</c:v>
                  </c:pt>
                  <c:pt idx="4">
                    <c:v>$33,843.21</c:v>
                  </c:pt>
                  <c:pt idx="5">
                    <c:v>$33,808.42</c:v>
                  </c:pt>
                  <c:pt idx="6">
                    <c:v>$28,837.87</c:v>
                  </c:pt>
                  <c:pt idx="7">
                    <c:v>$26,770.71</c:v>
                  </c:pt>
                  <c:pt idx="8">
                    <c:v>$22,214.88</c:v>
                  </c:pt>
                  <c:pt idx="9">
                    <c:v>$16,634.16</c:v>
                  </c:pt>
                  <c:pt idx="10">
                    <c:v>$13,734.94</c:v>
                  </c:pt>
                  <c:pt idx="11">
                    <c:v>$9,251.53</c:v>
                  </c:pt>
                  <c:pt idx="12">
                    <c:v>$8,024.80</c:v>
                  </c:pt>
                  <c:pt idx="13">
                    <c:v>$12,674.98</c:v>
                  </c:pt>
                  <c:pt idx="14">
                    <c:v>$21,507.56</c:v>
                  </c:pt>
                  <c:pt idx="15">
                    <c:v>$27,308.44</c:v>
                  </c:pt>
                  <c:pt idx="16">
                    <c:v>$27,428.55</c:v>
                  </c:pt>
                  <c:pt idx="17">
                    <c:v>$24,960.49</c:v>
                  </c:pt>
                  <c:pt idx="18">
                    <c:v>$25,384.42</c:v>
                  </c:pt>
                  <c:pt idx="19">
                    <c:v>$14,068.37</c:v>
                  </c:pt>
                  <c:pt idx="20">
                    <c:v>$16,174.22</c:v>
                  </c:pt>
                </c:lvl>
                <c:lvl>
                  <c:pt idx="0">
                    <c:v>0.30%</c:v>
                  </c:pt>
                  <c:pt idx="1">
                    <c:v>0.50%</c:v>
                  </c:pt>
                  <c:pt idx="2">
                    <c:v>0.50%</c:v>
                  </c:pt>
                  <c:pt idx="3">
                    <c:v>0.00%</c:v>
                  </c:pt>
                  <c:pt idx="4">
                    <c:v>1.20%</c:v>
                  </c:pt>
                  <c:pt idx="5">
                    <c:v>1.20%</c:v>
                  </c:pt>
                  <c:pt idx="6">
                    <c:v>1.00%</c:v>
                  </c:pt>
                  <c:pt idx="7">
                    <c:v>0.90%</c:v>
                  </c:pt>
                  <c:pt idx="8">
                    <c:v>0.80%</c:v>
                  </c:pt>
                  <c:pt idx="9">
                    <c:v>0.60%</c:v>
                  </c:pt>
                  <c:pt idx="10">
                    <c:v>0.50%</c:v>
                  </c:pt>
                  <c:pt idx="11">
                    <c:v>0.40%</c:v>
                  </c:pt>
                  <c:pt idx="12">
                    <c:v>0.30%</c:v>
                  </c:pt>
                  <c:pt idx="13">
                    <c:v>0.50%</c:v>
                  </c:pt>
                  <c:pt idx="14">
                    <c:v>0.80%</c:v>
                  </c:pt>
                  <c:pt idx="15">
                    <c:v>1.20%</c:v>
                  </c:pt>
                  <c:pt idx="16">
                    <c:v>1.00%</c:v>
                  </c:pt>
                  <c:pt idx="17">
                    <c:v>0.90%</c:v>
                  </c:pt>
                  <c:pt idx="18">
                    <c:v>0.90%</c:v>
                  </c:pt>
                  <c:pt idx="19">
                    <c:v>0.50%</c:v>
                  </c:pt>
                  <c:pt idx="20">
                    <c:v>0.60%</c:v>
                  </c:pt>
                </c:lvl>
                <c:lvl>
                  <c:pt idx="0">
                    <c:v>$2,523,827.65</c:v>
                  </c:pt>
                  <c:pt idx="1">
                    <c:v>$2,713,801.36</c:v>
                  </c:pt>
                  <c:pt idx="2">
                    <c:v>$2,932,091.76</c:v>
                  </c:pt>
                  <c:pt idx="3">
                    <c:v>$2,200,152.69</c:v>
                  </c:pt>
                  <c:pt idx="4">
                    <c:v>$2,819,904.61</c:v>
                  </c:pt>
                  <c:pt idx="5">
                    <c:v>$2,817,006.11</c:v>
                  </c:pt>
                  <c:pt idx="6">
                    <c:v>$2,883,424.57</c:v>
                  </c:pt>
                  <c:pt idx="7">
                    <c:v>$2,974,160.92</c:v>
                  </c:pt>
                  <c:pt idx="8">
                    <c:v>$2,776,496.81</c:v>
                  </c:pt>
                  <c:pt idx="9">
                    <c:v>$2,771,997.42</c:v>
                  </c:pt>
                  <c:pt idx="10">
                    <c:v>$2,746,625.48</c:v>
                  </c:pt>
                  <c:pt idx="11">
                    <c:v>$2,312,520.09</c:v>
                  </c:pt>
                  <c:pt idx="12">
                    <c:v>$2,674,565.39</c:v>
                  </c:pt>
                  <c:pt idx="13">
                    <c:v>$2,534,626.44</c:v>
                  </c:pt>
                  <c:pt idx="14">
                    <c:v>$2,688,076.61</c:v>
                  </c:pt>
                  <c:pt idx="15">
                    <c:v>$2,275,334.48</c:v>
                  </c:pt>
                  <c:pt idx="16">
                    <c:v>$2,742,486.34</c:v>
                  </c:pt>
                  <c:pt idx="17">
                    <c:v>$2,773,018.90</c:v>
                  </c:pt>
                  <c:pt idx="18">
                    <c:v>$2,820,122.61</c:v>
                  </c:pt>
                  <c:pt idx="19">
                    <c:v>$2,813,305.98</c:v>
                  </c:pt>
                  <c:pt idx="20">
                    <c:v>$2,695,334.53</c:v>
                  </c:pt>
                </c:lvl>
                <c:lvl>
                  <c:pt idx="0">
                    <c:v>$727,905.75</c:v>
                  </c:pt>
                  <c:pt idx="1">
                    <c:v>$785,361.39</c:v>
                  </c:pt>
                  <c:pt idx="2">
                    <c:v>$754,425.62</c:v>
                  </c:pt>
                  <c:pt idx="3">
                    <c:v>$42,889.35</c:v>
                  </c:pt>
                  <c:pt idx="4">
                    <c:v>$795,291.09</c:v>
                  </c:pt>
                  <c:pt idx="5">
                    <c:v>$805,094.37</c:v>
                  </c:pt>
                  <c:pt idx="6">
                    <c:v>$799,718.08</c:v>
                  </c:pt>
                  <c:pt idx="7">
                    <c:v>$811,328.05</c:v>
                  </c:pt>
                  <c:pt idx="8">
                    <c:v>$787,216.02</c:v>
                  </c:pt>
                  <c:pt idx="9">
                    <c:v>$738,932.80</c:v>
                  </c:pt>
                  <c:pt idx="10">
                    <c:v>$765,607.83</c:v>
                  </c:pt>
                  <c:pt idx="11">
                    <c:v>$737,018.47</c:v>
                  </c:pt>
                  <c:pt idx="12">
                    <c:v>$738,819.38</c:v>
                  </c:pt>
                  <c:pt idx="13">
                    <c:v>$758,989.74</c:v>
                  </c:pt>
                  <c:pt idx="14">
                    <c:v>$764,803.41</c:v>
                  </c:pt>
                  <c:pt idx="15">
                    <c:v>$764,381.10</c:v>
                  </c:pt>
                  <c:pt idx="16">
                    <c:v>$772,827.30</c:v>
                  </c:pt>
                  <c:pt idx="17">
                    <c:v>$803,720.06</c:v>
                  </c:pt>
                  <c:pt idx="18">
                    <c:v>$799,530.04</c:v>
                  </c:pt>
                  <c:pt idx="19">
                    <c:v>$783,943.12</c:v>
                  </c:pt>
                  <c:pt idx="20">
                    <c:v>$781,560.95</c:v>
                  </c:pt>
                </c:lvl>
                <c:lvl>
                  <c:pt idx="0">
                    <c:v>$184,676.25</c:v>
                  </c:pt>
                  <c:pt idx="1">
                    <c:v>$198,107.25</c:v>
                  </c:pt>
                  <c:pt idx="2">
                    <c:v>$204,721.00</c:v>
                  </c:pt>
                  <c:pt idx="3">
                    <c:v>$204,721.00</c:v>
                  </c:pt>
                  <c:pt idx="4">
                    <c:v>$198,107.25</c:v>
                  </c:pt>
                  <c:pt idx="5">
                    <c:v>$200,549.25</c:v>
                  </c:pt>
                  <c:pt idx="6">
                    <c:v>$194,444.25</c:v>
                  </c:pt>
                  <c:pt idx="7">
                    <c:v>$195,868.75</c:v>
                  </c:pt>
                  <c:pt idx="8">
                    <c:v>$189,967.25</c:v>
                  </c:pt>
                  <c:pt idx="9">
                    <c:v>$188,034.00</c:v>
                  </c:pt>
                  <c:pt idx="10">
                    <c:v>$184,065.75</c:v>
                  </c:pt>
                  <c:pt idx="11">
                    <c:v>$189,255.00</c:v>
                  </c:pt>
                  <c:pt idx="12">
                    <c:v>$189,404.80</c:v>
                  </c:pt>
                  <c:pt idx="13">
                    <c:v>$183,485.90</c:v>
                  </c:pt>
                  <c:pt idx="14">
                    <c:v>$184,812.55</c:v>
                  </c:pt>
                  <c:pt idx="15">
                    <c:v>$187,434.07</c:v>
                  </c:pt>
                  <c:pt idx="16">
                    <c:v>$188,792.50</c:v>
                  </c:pt>
                  <c:pt idx="17">
                    <c:v>$189,915.05</c:v>
                  </c:pt>
                  <c:pt idx="18">
                    <c:v>$185,935.10</c:v>
                  </c:pt>
                  <c:pt idx="19">
                    <c:v>$183,894.10</c:v>
                  </c:pt>
                  <c:pt idx="20">
                    <c:v>$183,179.75</c:v>
                  </c:pt>
                </c:lvl>
                <c:lvl>
                  <c:pt idx="0">
                    <c:v>$308,847.95</c:v>
                  </c:pt>
                  <c:pt idx="1">
                    <c:v>$328,503.57</c:v>
                  </c:pt>
                  <c:pt idx="2">
                    <c:v>$355,295.29</c:v>
                  </c:pt>
                  <c:pt idx="3">
                    <c:v>$203,590.27</c:v>
                  </c:pt>
                  <c:pt idx="4">
                    <c:v>$163,278.78</c:v>
                  </c:pt>
                  <c:pt idx="5">
                    <c:v>$159,306.03</c:v>
                  </c:pt>
                  <c:pt idx="6">
                    <c:v>$178,193.47</c:v>
                  </c:pt>
                  <c:pt idx="7">
                    <c:v>$178,632.61</c:v>
                  </c:pt>
                  <c:pt idx="8">
                    <c:v>$158,063.87</c:v>
                  </c:pt>
                  <c:pt idx="9">
                    <c:v>$199,964.51</c:v>
                  </c:pt>
                  <c:pt idx="10">
                    <c:v>$342,319.61</c:v>
                  </c:pt>
                  <c:pt idx="11">
                    <c:v>$259,868.40</c:v>
                  </c:pt>
                  <c:pt idx="12">
                    <c:v>$343,169.19</c:v>
                  </c:pt>
                  <c:pt idx="13">
                    <c:v>$314,088.63</c:v>
                  </c:pt>
                  <c:pt idx="14">
                    <c:v>$333,514.16</c:v>
                  </c:pt>
                  <c:pt idx="15">
                    <c:v>$129,076.53</c:v>
                  </c:pt>
                  <c:pt idx="16">
                    <c:v>$163,609.04</c:v>
                  </c:pt>
                  <c:pt idx="17">
                    <c:v>$161,531.31</c:v>
                  </c:pt>
                  <c:pt idx="18">
                    <c:v>$174,133.65</c:v>
                  </c:pt>
                  <c:pt idx="19">
                    <c:v>$162,733.00</c:v>
                  </c:pt>
                  <c:pt idx="20">
                    <c:v>$157,959.86</c:v>
                  </c:pt>
                </c:lvl>
                <c:lvl>
                  <c:pt idx="0">
                    <c:v>$1,008,360.25</c:v>
                  </c:pt>
                  <c:pt idx="1">
                    <c:v>$1,074,400.31</c:v>
                  </c:pt>
                  <c:pt idx="2">
                    <c:v>$1,248,783.11</c:v>
                  </c:pt>
                  <c:pt idx="3">
                    <c:v>$1,381,986.70</c:v>
                  </c:pt>
                  <c:pt idx="4">
                    <c:v>$1,294,737.76</c:v>
                  </c:pt>
                  <c:pt idx="5">
                    <c:v>$1,286,822.97</c:v>
                  </c:pt>
                  <c:pt idx="6">
                    <c:v>$1,363,811.29</c:v>
                  </c:pt>
                  <c:pt idx="7">
                    <c:v>$1,416,522.48</c:v>
                  </c:pt>
                  <c:pt idx="8">
                    <c:v>$1,271,155.20</c:v>
                  </c:pt>
                  <c:pt idx="9">
                    <c:v>$1,285,313.15</c:v>
                  </c:pt>
                  <c:pt idx="10">
                    <c:v>$1,098,790.79</c:v>
                  </c:pt>
                  <c:pt idx="11">
                    <c:v>$831,661.35</c:v>
                  </c:pt>
                  <c:pt idx="12">
                    <c:v>$1,078,026.43</c:v>
                  </c:pt>
                  <c:pt idx="13">
                    <c:v>$962,691.85</c:v>
                  </c:pt>
                  <c:pt idx="14">
                    <c:v>$1,050,830.64</c:v>
                  </c:pt>
                  <c:pt idx="15">
                    <c:v>$937,383.42</c:v>
                  </c:pt>
                  <c:pt idx="16">
                    <c:v>$1,265,279.21</c:v>
                  </c:pt>
                  <c:pt idx="17">
                    <c:v>$1,264,248.36</c:v>
                  </c:pt>
                  <c:pt idx="18">
                    <c:v>$1,322,411.97</c:v>
                  </c:pt>
                  <c:pt idx="19">
                    <c:v>$1,321,038.15</c:v>
                  </c:pt>
                  <c:pt idx="20">
                    <c:v>$1,246,004.72</c:v>
                  </c:pt>
                </c:lvl>
                <c:lvl>
                  <c:pt idx="0">
                    <c:v>$294,037.45</c:v>
                  </c:pt>
                  <c:pt idx="1">
                    <c:v>$327,428.85</c:v>
                  </c:pt>
                  <c:pt idx="2">
                    <c:v>$368,866.75</c:v>
                  </c:pt>
                  <c:pt idx="3">
                    <c:v>$366,965.38</c:v>
                  </c:pt>
                  <c:pt idx="4">
                    <c:v>$368,489.73</c:v>
                  </c:pt>
                  <c:pt idx="5">
                    <c:v>$365,233.49</c:v>
                  </c:pt>
                  <c:pt idx="6">
                    <c:v>$347,257.49</c:v>
                  </c:pt>
                  <c:pt idx="7">
                    <c:v>$371,809.04</c:v>
                  </c:pt>
                  <c:pt idx="8">
                    <c:v>$370,094.47</c:v>
                  </c:pt>
                  <c:pt idx="9">
                    <c:v>$359,752.96</c:v>
                  </c:pt>
                  <c:pt idx="10">
                    <c:v>$355,841.51</c:v>
                  </c:pt>
                  <c:pt idx="11">
                    <c:v>$294,716.87</c:v>
                  </c:pt>
                  <c:pt idx="12">
                    <c:v>$325,145.59</c:v>
                  </c:pt>
                  <c:pt idx="13">
                    <c:v>$315,370.33</c:v>
                  </c:pt>
                  <c:pt idx="14">
                    <c:v>$354,115.85</c:v>
                  </c:pt>
                  <c:pt idx="15">
                    <c:v>$257,059.36</c:v>
                  </c:pt>
                  <c:pt idx="16">
                    <c:v>$351,978.29</c:v>
                  </c:pt>
                  <c:pt idx="17">
                    <c:v>$353,604.12</c:v>
                  </c:pt>
                  <c:pt idx="18">
                    <c:v>$338,111.85</c:v>
                  </c:pt>
                  <c:pt idx="19">
                    <c:v>$361,697.60</c:v>
                  </c:pt>
                  <c:pt idx="20">
                    <c:v>$326,629.24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1836.688596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$401.05</c:v>
                  </c:pt>
                  <c:pt idx="1">
                    <c:v>$403.37</c:v>
                  </c:pt>
                  <c:pt idx="2">
                    <c:v>$408.46</c:v>
                  </c:pt>
                  <c:pt idx="3">
                    <c:v>$408.47</c:v>
                  </c:pt>
                  <c:pt idx="4">
                    <c:v>$408.47</c:v>
                  </c:pt>
                  <c:pt idx="5">
                    <c:v>$408.47</c:v>
                  </c:pt>
                  <c:pt idx="6">
                    <c:v>$420.02</c:v>
                  </c:pt>
                  <c:pt idx="7">
                    <c:v>$423.67</c:v>
                  </c:pt>
                  <c:pt idx="8">
                    <c:v>$423.69</c:v>
                  </c:pt>
                  <c:pt idx="9">
                    <c:v>$423.70</c:v>
                  </c:pt>
                  <c:pt idx="10">
                    <c:v>$423.69</c:v>
                  </c:pt>
                  <c:pt idx="11">
                    <c:v>$416.63</c:v>
                  </c:pt>
                  <c:pt idx="12">
                    <c:v>$421.46</c:v>
                  </c:pt>
                  <c:pt idx="13">
                    <c:v>$422.13</c:v>
                  </c:pt>
                  <c:pt idx="14">
                    <c:v>$422.31</c:v>
                  </c:pt>
                  <c:pt idx="15">
                    <c:v>$422.31</c:v>
                  </c:pt>
                  <c:pt idx="16">
                    <c:v>$422.31</c:v>
                  </c:pt>
                  <c:pt idx="17">
                    <c:v>$432.34</c:v>
                  </c:pt>
                  <c:pt idx="18">
                    <c:v>$438.82</c:v>
                  </c:pt>
                  <c:pt idx="19">
                    <c:v>$439.43</c:v>
                  </c:pt>
                  <c:pt idx="20">
                    <c:v>$435.41</c:v>
                  </c:pt>
                </c:lvl>
                <c:lvl>
                  <c:pt idx="0">
                    <c:v>$101.75</c:v>
                  </c:pt>
                  <c:pt idx="1">
                    <c:v>$101.75</c:v>
                  </c:pt>
                  <c:pt idx="2">
                    <c:v>$101.75</c:v>
                  </c:pt>
                  <c:pt idx="3">
                    <c:v>$101.75</c:v>
                  </c:pt>
                  <c:pt idx="4">
                    <c:v>$101.75</c:v>
                  </c:pt>
                  <c:pt idx="5">
                    <c:v>$101.75</c:v>
                  </c:pt>
                  <c:pt idx="6">
                    <c:v>$101.75</c:v>
                  </c:pt>
                  <c:pt idx="7">
                    <c:v>$101.75</c:v>
                  </c:pt>
                  <c:pt idx="8">
                    <c:v>$101.75</c:v>
                  </c:pt>
                  <c:pt idx="9">
                    <c:v>$101.75</c:v>
                  </c:pt>
                  <c:pt idx="10">
                    <c:v>$101.75</c:v>
                  </c:pt>
                  <c:pt idx="11">
                    <c:v>$101.75</c:v>
                  </c:pt>
                  <c:pt idx="12">
                    <c:v>$102.05</c:v>
                  </c:pt>
                  <c:pt idx="13">
                    <c:v>$102.05</c:v>
                  </c:pt>
                  <c:pt idx="14">
                    <c:v>$102.05</c:v>
                  </c:pt>
                  <c:pt idx="15">
                    <c:v>$102.05</c:v>
                  </c:pt>
                  <c:pt idx="16">
                    <c:v>$102.05</c:v>
                  </c:pt>
                  <c:pt idx="17">
                    <c:v>$102.05</c:v>
                  </c:pt>
                  <c:pt idx="18">
                    <c:v>$102.05</c:v>
                  </c:pt>
                  <c:pt idx="19">
                    <c:v>$102.05</c:v>
                  </c:pt>
                  <c:pt idx="20">
                    <c:v>$102.05</c:v>
                  </c:pt>
                </c:lvl>
                <c:lvl>
                  <c:pt idx="0">
                    <c:v>$2.18</c:v>
                  </c:pt>
                  <c:pt idx="1">
                    <c:v>$2.19</c:v>
                  </c:pt>
                  <c:pt idx="2">
                    <c:v>$2.21</c:v>
                  </c:pt>
                  <c:pt idx="3">
                    <c:v>$2.21</c:v>
                  </c:pt>
                  <c:pt idx="4">
                    <c:v>$2.21</c:v>
                  </c:pt>
                  <c:pt idx="5">
                    <c:v>$2.21</c:v>
                  </c:pt>
                  <c:pt idx="6">
                    <c:v>$2.27</c:v>
                  </c:pt>
                  <c:pt idx="7">
                    <c:v>$2.29</c:v>
                  </c:pt>
                  <c:pt idx="8">
                    <c:v>$2.29</c:v>
                  </c:pt>
                  <c:pt idx="9">
                    <c:v>$2.29</c:v>
                  </c:pt>
                  <c:pt idx="10">
                    <c:v>$2.29</c:v>
                  </c:pt>
                  <c:pt idx="11">
                    <c:v>$2.25</c:v>
                  </c:pt>
                  <c:pt idx="12">
                    <c:v>$2.28</c:v>
                  </c:pt>
                  <c:pt idx="13">
                    <c:v>$2.28</c:v>
                  </c:pt>
                  <c:pt idx="14">
                    <c:v>$2.28</c:v>
                  </c:pt>
                  <c:pt idx="15">
                    <c:v>$2.28</c:v>
                  </c:pt>
                  <c:pt idx="16">
                    <c:v>$2.28</c:v>
                  </c:pt>
                  <c:pt idx="17">
                    <c:v>$2.33</c:v>
                  </c:pt>
                  <c:pt idx="18">
                    <c:v>$2.37</c:v>
                  </c:pt>
                  <c:pt idx="19">
                    <c:v>$2.37</c:v>
                  </c:pt>
                  <c:pt idx="20">
                    <c:v>$2.35</c:v>
                  </c:pt>
                </c:lvl>
                <c:lvl>
                  <c:pt idx="0">
                    <c:v>$1.91</c:v>
                  </c:pt>
                  <c:pt idx="1">
                    <c:v>$1.92</c:v>
                  </c:pt>
                  <c:pt idx="2">
                    <c:v>$1.94</c:v>
                  </c:pt>
                  <c:pt idx="3">
                    <c:v>$1.94</c:v>
                  </c:pt>
                  <c:pt idx="4">
                    <c:v>$1.94</c:v>
                  </c:pt>
                  <c:pt idx="5">
                    <c:v>$1.94</c:v>
                  </c:pt>
                  <c:pt idx="6">
                    <c:v>$1.99</c:v>
                  </c:pt>
                  <c:pt idx="7">
                    <c:v>$2.01</c:v>
                  </c:pt>
                  <c:pt idx="8">
                    <c:v>$2.01</c:v>
                  </c:pt>
                  <c:pt idx="9">
                    <c:v>$2.01</c:v>
                  </c:pt>
                  <c:pt idx="10">
                    <c:v>$2.01</c:v>
                  </c:pt>
                  <c:pt idx="11">
                    <c:v>$1.97</c:v>
                  </c:pt>
                  <c:pt idx="12">
                    <c:v>$2.00</c:v>
                  </c:pt>
                  <c:pt idx="13">
                    <c:v>$2.00</c:v>
                  </c:pt>
                  <c:pt idx="14">
                    <c:v>$2.00</c:v>
                  </c:pt>
                  <c:pt idx="15">
                    <c:v>$2.00</c:v>
                  </c:pt>
                  <c:pt idx="16">
                    <c:v>$2.00</c:v>
                  </c:pt>
                  <c:pt idx="17">
                    <c:v>$2.05</c:v>
                  </c:pt>
                  <c:pt idx="18">
                    <c:v>$2.07</c:v>
                  </c:pt>
                  <c:pt idx="19">
                    <c:v>$2.08</c:v>
                  </c:pt>
                  <c:pt idx="20">
                    <c:v>$2.06</c:v>
                  </c:pt>
                </c:lvl>
                <c:lvl>
                  <c:pt idx="0">
                    <c:v>$1.07</c:v>
                  </c:pt>
                  <c:pt idx="1">
                    <c:v>$1.08</c:v>
                  </c:pt>
                  <c:pt idx="2">
                    <c:v>$1.09</c:v>
                  </c:pt>
                  <c:pt idx="3">
                    <c:v>$1.09</c:v>
                  </c:pt>
                  <c:pt idx="4">
                    <c:v>$1.09</c:v>
                  </c:pt>
                  <c:pt idx="5">
                    <c:v>$1.09</c:v>
                  </c:pt>
                  <c:pt idx="6">
                    <c:v>$1.11</c:v>
                  </c:pt>
                  <c:pt idx="7">
                    <c:v>$1.12</c:v>
                  </c:pt>
                  <c:pt idx="8">
                    <c:v>$1.12</c:v>
                  </c:pt>
                  <c:pt idx="9">
                    <c:v>$1.12</c:v>
                  </c:pt>
                  <c:pt idx="10">
                    <c:v>$1.12</c:v>
                  </c:pt>
                  <c:pt idx="11">
                    <c:v>$1.10</c:v>
                  </c:pt>
                  <c:pt idx="12">
                    <c:v>$1.12</c:v>
                  </c:pt>
                  <c:pt idx="13">
                    <c:v>$1.12</c:v>
                  </c:pt>
                  <c:pt idx="14">
                    <c:v>$1.12</c:v>
                  </c:pt>
                  <c:pt idx="15">
                    <c:v>$1.12</c:v>
                  </c:pt>
                  <c:pt idx="16">
                    <c:v>$1.12</c:v>
                  </c:pt>
                  <c:pt idx="17">
                    <c:v>$1.14</c:v>
                  </c:pt>
                  <c:pt idx="18">
                    <c:v>$1.16</c:v>
                  </c:pt>
                  <c:pt idx="19">
                    <c:v>$1.16</c:v>
                  </c:pt>
                  <c:pt idx="20">
                    <c:v>$1.15</c:v>
                  </c:pt>
                </c:lvl>
                <c:lvl>
                  <c:pt idx="0">
                    <c:v>$362.60</c:v>
                  </c:pt>
                  <c:pt idx="1">
                    <c:v>$362.60</c:v>
                  </c:pt>
                  <c:pt idx="2">
                    <c:v>$362.60</c:v>
                  </c:pt>
                  <c:pt idx="3">
                    <c:v>$362.60</c:v>
                  </c:pt>
                  <c:pt idx="4">
                    <c:v>$362.60</c:v>
                  </c:pt>
                  <c:pt idx="5">
                    <c:v>$362.60</c:v>
                  </c:pt>
                  <c:pt idx="6">
                    <c:v>$362.60</c:v>
                  </c:pt>
                  <c:pt idx="7">
                    <c:v>$362.60</c:v>
                  </c:pt>
                  <c:pt idx="8">
                    <c:v>$362.60</c:v>
                  </c:pt>
                  <c:pt idx="9">
                    <c:v>$362.60</c:v>
                  </c:pt>
                  <c:pt idx="10">
                    <c:v>$362.60</c:v>
                  </c:pt>
                  <c:pt idx="11">
                    <c:v>$362.60</c:v>
                  </c:pt>
                  <c:pt idx="12">
                    <c:v>$368.95</c:v>
                  </c:pt>
                  <c:pt idx="13">
                    <c:v>$368.95</c:v>
                  </c:pt>
                  <c:pt idx="14">
                    <c:v>$368.95</c:v>
                  </c:pt>
                  <c:pt idx="15">
                    <c:v>$368.95</c:v>
                  </c:pt>
                  <c:pt idx="16">
                    <c:v>$368.95</c:v>
                  </c:pt>
                  <c:pt idx="17">
                    <c:v>$368.95</c:v>
                  </c:pt>
                  <c:pt idx="18">
                    <c:v>$368.95</c:v>
                  </c:pt>
                  <c:pt idx="19">
                    <c:v>$368.95</c:v>
                  </c:pt>
                  <c:pt idx="20">
                    <c:v>$368.95</c:v>
                  </c:pt>
                </c:lvl>
                <c:lvl>
                  <c:pt idx="0">
                    <c:v>94.56</c:v>
                  </c:pt>
                  <c:pt idx="1">
                    <c:v>94.19</c:v>
                  </c:pt>
                  <c:pt idx="2">
                    <c:v>94.28</c:v>
                  </c:pt>
                  <c:pt idx="3">
                    <c:v>94.93</c:v>
                  </c:pt>
                  <c:pt idx="4">
                    <c:v>93.13</c:v>
                  </c:pt>
                  <c:pt idx="5">
                    <c:v>93.14</c:v>
                  </c:pt>
                  <c:pt idx="6">
                    <c:v>93.39</c:v>
                  </c:pt>
                  <c:pt idx="7">
                    <c:v>93.66</c:v>
                  </c:pt>
                  <c:pt idx="8">
                    <c:v>93.76</c:v>
                  </c:pt>
                  <c:pt idx="9">
                    <c:v>94.1</c:v>
                  </c:pt>
                  <c:pt idx="10">
                    <c:v>94.17</c:v>
                  </c:pt>
                  <c:pt idx="11">
                    <c:v>94.32</c:v>
                  </c:pt>
                  <c:pt idx="12">
                    <c:v>94.57</c:v>
                  </c:pt>
                  <c:pt idx="13">
                    <c:v>94.2</c:v>
                  </c:pt>
                  <c:pt idx="14">
                    <c:v>93.81</c:v>
                  </c:pt>
                  <c:pt idx="15">
                    <c:v>93.14</c:v>
                  </c:pt>
                  <c:pt idx="16">
                    <c:v>93.4</c:v>
                  </c:pt>
                  <c:pt idx="17">
                    <c:v>93.59</c:v>
                  </c:pt>
                  <c:pt idx="18">
                    <c:v>93.67</c:v>
                  </c:pt>
                  <c:pt idx="19">
                    <c:v>94.27</c:v>
                  </c:pt>
                  <c:pt idx="20">
                    <c:v>94.01</c:v>
                  </c:pt>
                </c:lvl>
                <c:lvl>
                  <c:pt idx="0">
                    <c:v>325156</c:v>
                  </c:pt>
                  <c:pt idx="1">
                    <c:v>361949</c:v>
                  </c:pt>
                  <c:pt idx="2">
                    <c:v>404533</c:v>
                  </c:pt>
                  <c:pt idx="3">
                    <c:v>378731</c:v>
                  </c:pt>
                  <c:pt idx="4">
                    <c:v>422677</c:v>
                  </c:pt>
                  <c:pt idx="5">
                    <c:v>418685</c:v>
                  </c:pt>
                  <c:pt idx="6">
                    <c:v>412155</c:v>
                  </c:pt>
                  <c:pt idx="7">
                    <c:v>417877</c:v>
                  </c:pt>
                  <c:pt idx="8">
                    <c:v>383440</c:v>
                  </c:pt>
                  <c:pt idx="9">
                    <c:v>383597</c:v>
                  </c:pt>
                  <c:pt idx="10">
                    <c:v>362838</c:v>
                  </c:pt>
                  <c:pt idx="11">
                    <c:v>282886</c:v>
                  </c:pt>
                  <c:pt idx="12">
                    <c:v>336846</c:v>
                  </c:pt>
                  <c:pt idx="13">
                    <c:v>320568</c:v>
                  </c:pt>
                  <c:pt idx="14">
                    <c:v>364109</c:v>
                  </c:pt>
                  <c:pt idx="15">
                    <c:v>378000</c:v>
                  </c:pt>
                  <c:pt idx="16">
                    <c:v>389248</c:v>
                  </c:pt>
                  <c:pt idx="17">
                    <c:v>375229</c:v>
                  </c:pt>
                  <c:pt idx="18">
                    <c:v>374983</c:v>
                  </c:pt>
                  <c:pt idx="19">
                    <c:v>360110</c:v>
                  </c:pt>
                  <c:pt idx="20">
                    <c:v>345944</c:v>
                  </c:pt>
                </c:lvl>
                <c:lvl>
                  <c:pt idx="0">
                    <c:v>2228.82</c:v>
                  </c:pt>
                  <c:pt idx="1">
                    <c:v>2558.21</c:v>
                  </c:pt>
                  <c:pt idx="2">
                    <c:v>2697.36</c:v>
                  </c:pt>
                  <c:pt idx="3">
                    <c:v>2783.11</c:v>
                  </c:pt>
                  <c:pt idx="4">
                    <c:v>2547.62</c:v>
                  </c:pt>
                  <c:pt idx="5">
                    <c:v>2610.92</c:v>
                  </c:pt>
                  <c:pt idx="6">
                    <c:v>2538.14</c:v>
                  </c:pt>
                  <c:pt idx="7">
                    <c:v>2632.99</c:v>
                  </c:pt>
                  <c:pt idx="8">
                    <c:v>2518.37</c:v>
                  </c:pt>
                  <c:pt idx="9">
                    <c:v>2475.05</c:v>
                  </c:pt>
                  <c:pt idx="10">
                    <c:v>2474.18</c:v>
                  </c:pt>
                  <c:pt idx="11">
                    <c:v>1894.38</c:v>
                  </c:pt>
                  <c:pt idx="12">
                    <c:v>2311.38</c:v>
                  </c:pt>
                  <c:pt idx="13">
                    <c:v>2349.01</c:v>
                  </c:pt>
                  <c:pt idx="14">
                    <c:v>2326.18</c:v>
                  </c:pt>
                  <c:pt idx="15">
                    <c:v>1836.69</c:v>
                  </c:pt>
                  <c:pt idx="16">
                    <c:v>2398.75</c:v>
                  </c:pt>
                  <c:pt idx="17">
                    <c:v>2428.06</c:v>
                  </c:pt>
                  <c:pt idx="18">
                    <c:v>2366.10</c:v>
                  </c:pt>
                  <c:pt idx="19">
                    <c:v>2398.32</c:v>
                  </c:pt>
                  <c:pt idx="20">
                    <c:v>2324.72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2199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1798</c:v>
                  </c:pt>
                  <c:pt idx="1">
                    <c:v>1904</c:v>
                  </c:pt>
                  <c:pt idx="2">
                    <c:v>2012</c:v>
                  </c:pt>
                  <c:pt idx="3">
                    <c:v>1995</c:v>
                  </c:pt>
                  <c:pt idx="4">
                    <c:v>1928</c:v>
                  </c:pt>
                  <c:pt idx="5">
                    <c:v>1968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1713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1781</c:v>
                  </c:pt>
                  <c:pt idx="14">
                    <c:v>1805</c:v>
                  </c:pt>
                  <c:pt idx="15">
                    <c:v>1539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1777</c:v>
                  </c:pt>
                  <c:pt idx="19">
                    <c:v>1802</c:v>
                  </c:pt>
                  <c:pt idx="20">
                    <c:v>1760</c:v>
                  </c:pt>
                </c:lvl>
                <c:lvl>
                  <c:pt idx="0">
                    <c:v>1732</c:v>
                  </c:pt>
                  <c:pt idx="1">
                    <c:v>1749</c:v>
                  </c:pt>
                  <c:pt idx="2">
                    <c:v>1860</c:v>
                  </c:pt>
                  <c:pt idx="3">
                    <c:v>1698</c:v>
                  </c:pt>
                  <c:pt idx="4">
                    <c:v>1725</c:v>
                  </c:pt>
                  <c:pt idx="5">
                    <c:v>1720</c:v>
                  </c:pt>
                  <c:pt idx="6">
                    <c:v>1693</c:v>
                  </c:pt>
                  <c:pt idx="7">
                    <c:v>1743</c:v>
                  </c:pt>
                  <c:pt idx="8">
                    <c:v>1625</c:v>
                  </c:pt>
                  <c:pt idx="9">
                    <c:v>1538</c:v>
                  </c:pt>
                  <c:pt idx="10">
                    <c:v>1778</c:v>
                  </c:pt>
                  <c:pt idx="11">
                    <c:v>1705</c:v>
                  </c:pt>
                  <c:pt idx="12">
                    <c:v>1774</c:v>
                  </c:pt>
                  <c:pt idx="13">
                    <c:v>1695</c:v>
                  </c:pt>
                  <c:pt idx="14">
                    <c:v>1692</c:v>
                  </c:pt>
                  <c:pt idx="15">
                    <c:v>1759</c:v>
                  </c:pt>
                  <c:pt idx="16">
                    <c:v>1629</c:v>
                  </c:pt>
                  <c:pt idx="17">
                    <c:v>1593</c:v>
                  </c:pt>
                  <c:pt idx="18">
                    <c:v>1532</c:v>
                  </c:pt>
                  <c:pt idx="19">
                    <c:v>1524</c:v>
                  </c:pt>
                  <c:pt idx="20">
                    <c:v>1498</c:v>
                  </c:pt>
                </c:lvl>
                <c:lvl>
                  <c:pt idx="0">
                    <c:v>945199</c:v>
                  </c:pt>
                  <c:pt idx="1">
                    <c:v>1014895</c:v>
                  </c:pt>
                  <c:pt idx="2">
                    <c:v>1143898</c:v>
                  </c:pt>
                  <c:pt idx="3">
                    <c:v>1142190</c:v>
                  </c:pt>
                  <c:pt idx="4">
                    <c:v>1080393</c:v>
                  </c:pt>
                  <c:pt idx="5">
                    <c:v>1071520</c:v>
                  </c:pt>
                  <c:pt idx="6">
                    <c:v>1076376</c:v>
                  </c:pt>
                  <c:pt idx="7">
                    <c:v>1116598</c:v>
                  </c:pt>
                  <c:pt idx="8">
                    <c:v>1033537</c:v>
                  </c:pt>
                  <c:pt idx="9">
                    <c:v>1049618</c:v>
                  </c:pt>
                  <c:pt idx="10">
                    <c:v>1015403</c:v>
                  </c:pt>
                  <c:pt idx="11">
                    <c:v>803368</c:v>
                  </c:pt>
                  <c:pt idx="12">
                    <c:v>980209</c:v>
                  </c:pt>
                  <c:pt idx="13">
                    <c:v>899765</c:v>
                  </c:pt>
                  <c:pt idx="14">
                    <c:v>986487</c:v>
                  </c:pt>
                  <c:pt idx="15">
                    <c:v>753777</c:v>
                  </c:pt>
                  <c:pt idx="16">
                    <c:v>1017260</c:v>
                  </c:pt>
                  <c:pt idx="17">
                    <c:v>996476</c:v>
                  </c:pt>
                  <c:pt idx="18">
                    <c:v>1003415</c:v>
                  </c:pt>
                  <c:pt idx="19">
                    <c:v>1017081</c:v>
                  </c:pt>
                  <c:pt idx="20">
                    <c:v>954067</c:v>
                  </c:pt>
                </c:lvl>
                <c:lvl>
                  <c:pt idx="0">
                    <c:v>141986</c:v>
                  </c:pt>
                  <c:pt idx="1">
                    <c:v>150228</c:v>
                  </c:pt>
                  <c:pt idx="2">
                    <c:v>160629</c:v>
                  </c:pt>
                  <c:pt idx="3">
                    <c:v>92039</c:v>
                  </c:pt>
                  <c:pt idx="4">
                    <c:v>73815</c:v>
                  </c:pt>
                  <c:pt idx="5">
                    <c:v>72019</c:v>
                  </c:pt>
                  <c:pt idx="6">
                    <c:v>78527</c:v>
                  </c:pt>
                  <c:pt idx="7">
                    <c:v>78101</c:v>
                  </c:pt>
                  <c:pt idx="8">
                    <c:v>69105</c:v>
                  </c:pt>
                  <c:pt idx="9">
                    <c:v>87420</c:v>
                  </c:pt>
                  <c:pt idx="10">
                    <c:v>149661</c:v>
                  </c:pt>
                  <c:pt idx="11">
                    <c:v>115374</c:v>
                  </c:pt>
                  <c:pt idx="12">
                    <c:v>150493</c:v>
                  </c:pt>
                  <c:pt idx="13">
                    <c:v>137541</c:v>
                  </c:pt>
                  <c:pt idx="14">
                    <c:v>145990</c:v>
                  </c:pt>
                  <c:pt idx="15">
                    <c:v>56501</c:v>
                  </c:pt>
                  <c:pt idx="16">
                    <c:v>71617</c:v>
                  </c:pt>
                  <c:pt idx="17">
                    <c:v>69202</c:v>
                  </c:pt>
                  <c:pt idx="18">
                    <c:v>73589</c:v>
                  </c:pt>
                  <c:pt idx="19">
                    <c:v>68684</c:v>
                  </c:pt>
                  <c:pt idx="20">
                    <c:v>67117</c:v>
                  </c:pt>
                </c:lvl>
                <c:lvl>
                  <c:pt idx="0">
                    <c:v>528463</c:v>
                  </c:pt>
                  <c:pt idx="1">
                    <c:v>560167</c:v>
                  </c:pt>
                  <c:pt idx="2">
                    <c:v>643769</c:v>
                  </c:pt>
                  <c:pt idx="3">
                    <c:v>712401</c:v>
                  </c:pt>
                  <c:pt idx="4">
                    <c:v>667425</c:v>
                  </c:pt>
                  <c:pt idx="5">
                    <c:v>663345</c:v>
                  </c:pt>
                  <c:pt idx="6">
                    <c:v>685539</c:v>
                  </c:pt>
                  <c:pt idx="7">
                    <c:v>706495</c:v>
                  </c:pt>
                  <c:pt idx="8">
                    <c:v>633961</c:v>
                  </c:pt>
                  <c:pt idx="9">
                    <c:v>640990</c:v>
                  </c:pt>
                  <c:pt idx="10">
                    <c:v>547998</c:v>
                  </c:pt>
                  <c:pt idx="11">
                    <c:v>421137</c:v>
                  </c:pt>
                  <c:pt idx="12">
                    <c:v>539148</c:v>
                  </c:pt>
                  <c:pt idx="13">
                    <c:v>480769</c:v>
                  </c:pt>
                  <c:pt idx="14">
                    <c:v>524576</c:v>
                  </c:pt>
                  <c:pt idx="15">
                    <c:v>467943</c:v>
                  </c:pt>
                  <c:pt idx="16">
                    <c:v>631629</c:v>
                  </c:pt>
                  <c:pt idx="17">
                    <c:v>617882</c:v>
                  </c:pt>
                  <c:pt idx="18">
                    <c:v>637645</c:v>
                  </c:pt>
                  <c:pt idx="19">
                    <c:v>636185</c:v>
                  </c:pt>
                  <c:pt idx="20">
                    <c:v>603860</c:v>
                  </c:pt>
                </c:lvl>
                <c:lvl>
                  <c:pt idx="0">
                    <c:v>274750</c:v>
                  </c:pt>
                  <c:pt idx="1">
                    <c:v>304500</c:v>
                  </c:pt>
                  <c:pt idx="2">
                    <c:v>339500</c:v>
                  </c:pt>
                  <c:pt idx="3">
                    <c:v>337750</c:v>
                  </c:pt>
                  <c:pt idx="4">
                    <c:v>339153</c:v>
                  </c:pt>
                  <c:pt idx="5">
                    <c:v>336156</c:v>
                  </c:pt>
                  <c:pt idx="6">
                    <c:v>312310</c:v>
                  </c:pt>
                  <c:pt idx="7">
                    <c:v>332002</c:v>
                  </c:pt>
                  <c:pt idx="8">
                    <c:v>330471</c:v>
                  </c:pt>
                  <c:pt idx="9">
                    <c:v>321208</c:v>
                  </c:pt>
                  <c:pt idx="10">
                    <c:v>317744</c:v>
                  </c:pt>
                  <c:pt idx="11">
                    <c:v>266857</c:v>
                  </c:pt>
                  <c:pt idx="12">
                    <c:v>290568</c:v>
                  </c:pt>
                  <c:pt idx="13">
                    <c:v>281455</c:v>
                  </c:pt>
                  <c:pt idx="14">
                    <c:v>315921</c:v>
                  </c:pt>
                  <c:pt idx="15">
                    <c:v>229333</c:v>
                  </c:pt>
                  <c:pt idx="16">
                    <c:v>314014</c:v>
                  </c:pt>
                  <c:pt idx="17">
                    <c:v>309392</c:v>
                  </c:pt>
                  <c:pt idx="18">
                    <c:v>292181</c:v>
                  </c:pt>
                  <c:pt idx="19">
                    <c:v>312212</c:v>
                  </c:pt>
                  <c:pt idx="20">
                    <c:v>283090</c:v>
                  </c:pt>
                </c:lvl>
                <c:lvl>
                  <c:pt idx="0">
                    <c:v>31</c:v>
                  </c:pt>
                  <c:pt idx="1">
                    <c:v>29</c:v>
                  </c:pt>
                  <c:pt idx="2">
                    <c:v>31</c:v>
                  </c:pt>
                  <c:pt idx="3">
                    <c:v>30</c:v>
                  </c:pt>
                  <c:pt idx="4">
                    <c:v>31</c:v>
                  </c:pt>
                  <c:pt idx="5">
                    <c:v>30</c:v>
                  </c:pt>
                  <c:pt idx="6">
                    <c:v>31</c:v>
                  </c:pt>
                  <c:pt idx="7">
                    <c:v>31</c:v>
                  </c:pt>
                  <c:pt idx="8">
                    <c:v>30</c:v>
                  </c:pt>
                  <c:pt idx="9">
                    <c:v>31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31</c:v>
                  </c:pt>
                  <c:pt idx="13">
                    <c:v>28</c:v>
                  </c:pt>
                  <c:pt idx="14">
                    <c:v>31</c:v>
                  </c:pt>
                  <c:pt idx="15">
                    <c:v>30</c:v>
                  </c:pt>
                  <c:pt idx="16">
                    <c:v>31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31</c:v>
                  </c:pt>
                  <c:pt idx="20">
                    <c:v>30</c:v>
                  </c:pt>
                </c:lvl>
                <c:lvl>
                  <c:pt idx="0">
                    <c:v>31/01/2024</c:v>
                  </c:pt>
                  <c:pt idx="1">
                    <c:v>29/02/2024</c:v>
                  </c:pt>
                  <c:pt idx="2">
                    <c:v>31/03/2024</c:v>
                  </c:pt>
                  <c:pt idx="3">
                    <c:v>30/04/2024</c:v>
                  </c:pt>
                  <c:pt idx="4">
                    <c:v>31/05/2024</c:v>
                  </c:pt>
                  <c:pt idx="5">
                    <c:v>30/06/2024</c:v>
                  </c:pt>
                  <c:pt idx="6">
                    <c:v>31/07/2024</c:v>
                  </c:pt>
                  <c:pt idx="7">
                    <c:v>31/08/2024</c:v>
                  </c:pt>
                  <c:pt idx="8">
                    <c:v>30/09/2024</c:v>
                  </c:pt>
                  <c:pt idx="9">
                    <c:v>31/10/2024</c:v>
                  </c:pt>
                  <c:pt idx="10">
                    <c:v>30/11/2024</c:v>
                  </c:pt>
                  <c:pt idx="11">
                    <c:v>31/12/2024</c:v>
                  </c:pt>
                  <c:pt idx="12">
                    <c:v>31/01/2025</c:v>
                  </c:pt>
                  <c:pt idx="13">
                    <c:v>28/02/2025</c:v>
                  </c:pt>
                  <c:pt idx="14">
                    <c:v>31/03/2025</c:v>
                  </c:pt>
                  <c:pt idx="15">
                    <c:v>30/04/2025</c:v>
                  </c:pt>
                  <c:pt idx="16">
                    <c:v>31/05/2025</c:v>
                  </c:pt>
                  <c:pt idx="17">
                    <c:v>30/06/2025</c:v>
                  </c:pt>
                  <c:pt idx="18">
                    <c:v>31/07/2025</c:v>
                  </c:pt>
                  <c:pt idx="19">
                    <c:v>31/08/2025</c:v>
                  </c:pt>
                  <c:pt idx="20">
                    <c:v>30/09/2025</c:v>
                  </c:pt>
                </c:lvl>
              </c:multiLvlStrCache>
            </c:multiLvlStrRef>
          </c:cat>
          <c:val>
            <c:numRef>
              <c:f>Hoja1!$AK$3:$AK$23</c:f>
              <c:numCache>
                <c:formatCode>General</c:formatCode>
                <c:ptCount val="21"/>
                <c:pt idx="0">
                  <c:v>242</c:v>
                </c:pt>
                <c:pt idx="1">
                  <c:v>224</c:v>
                </c:pt>
                <c:pt idx="2">
                  <c:v>256</c:v>
                </c:pt>
                <c:pt idx="3">
                  <c:v>237</c:v>
                </c:pt>
                <c:pt idx="4">
                  <c:v>242</c:v>
                </c:pt>
                <c:pt idx="5">
                  <c:v>250</c:v>
                </c:pt>
                <c:pt idx="6">
                  <c:v>242</c:v>
                </c:pt>
                <c:pt idx="7">
                  <c:v>243</c:v>
                </c:pt>
                <c:pt idx="8">
                  <c:v>249</c:v>
                </c:pt>
                <c:pt idx="9">
                  <c:v>241</c:v>
                </c:pt>
                <c:pt idx="10">
                  <c:v>238</c:v>
                </c:pt>
                <c:pt idx="11">
                  <c:v>254</c:v>
                </c:pt>
                <c:pt idx="12">
                  <c:v>242</c:v>
                </c:pt>
                <c:pt idx="13">
                  <c:v>224</c:v>
                </c:pt>
                <c:pt idx="14">
                  <c:v>256</c:v>
                </c:pt>
                <c:pt idx="15">
                  <c:v>237</c:v>
                </c:pt>
                <c:pt idx="16">
                  <c:v>242</c:v>
                </c:pt>
                <c:pt idx="17">
                  <c:v>250</c:v>
                </c:pt>
                <c:pt idx="18">
                  <c:v>242</c:v>
                </c:pt>
                <c:pt idx="19">
                  <c:v>243</c:v>
                </c:pt>
                <c:pt idx="20">
                  <c:v>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B-4C5A-9BB5-44A0BCD50CF4}"/>
            </c:ext>
          </c:extLst>
        </c:ser>
        <c:ser>
          <c:idx val="1"/>
          <c:order val="1"/>
          <c:tx>
            <c:strRef>
              <c:f>Hoja1!$AL$2</c:f>
              <c:strCache>
                <c:ptCount val="1"/>
                <c:pt idx="0">
                  <c:v>HORAS INTERMEDIA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Hoja1!$B$3:$AJ$23</c:f>
              <c:multiLvlStrCache>
                <c:ptCount val="21"/>
                <c:lvl>
                  <c:pt idx="7">
                    <c:v>NET MET </c:v>
                  </c:pt>
                  <c:pt idx="8">
                    <c:v>NET MET </c:v>
                  </c:pt>
                  <c:pt idx="9">
                    <c:v>NET MET </c:v>
                  </c:pt>
                  <c:pt idx="10">
                    <c:v>NET MET </c:v>
                  </c:pt>
                  <c:pt idx="11">
                    <c:v>NET MET </c:v>
                  </c:pt>
                  <c:pt idx="12">
                    <c:v>NET MET </c:v>
                  </c:pt>
                  <c:pt idx="13">
                    <c:v>NET MET </c:v>
                  </c:pt>
                  <c:pt idx="14">
                    <c:v>NET MET </c:v>
                  </c:pt>
                  <c:pt idx="15">
                    <c:v>NET MET </c:v>
                  </c:pt>
                  <c:pt idx="16">
                    <c:v>NET MET </c:v>
                  </c:pt>
                  <c:pt idx="17">
                    <c:v>NET MET </c:v>
                  </c:pt>
                  <c:pt idx="18">
                    <c:v>NET MET </c:v>
                  </c:pt>
                  <c:pt idx="19">
                    <c:v>NET MET </c:v>
                  </c:pt>
                  <c:pt idx="20">
                    <c:v>NET MET </c:v>
                  </c:pt>
                </c:lvl>
                <c:lvl>
                  <c:pt idx="0">
                    <c:v>$3,139,386.73</c:v>
                  </c:pt>
                  <c:pt idx="1">
                    <c:v>$3,382,391.85</c:v>
                  </c:pt>
                  <c:pt idx="2">
                    <c:v>$3,654,425.48</c:v>
                  </c:pt>
                  <c:pt idx="3">
                    <c:v>$2,667,773.08</c:v>
                  </c:pt>
                  <c:pt idx="4">
                    <c:v>$3,539,097.01</c:v>
                  </c:pt>
                  <c:pt idx="5">
                    <c:v>$3,535,459.65</c:v>
                  </c:pt>
                  <c:pt idx="6">
                    <c:v>$3,611,655.71</c:v>
                  </c:pt>
                  <c:pt idx="7">
                    <c:v>$3,721,605.57</c:v>
                  </c:pt>
                  <c:pt idx="8">
                    <c:v>$3,470,852.69</c:v>
                  </c:pt>
                  <c:pt idx="9">
                    <c:v>$3,505,262.83</c:v>
                  </c:pt>
                  <c:pt idx="10">
                    <c:v>$3,423,297.38</c:v>
                  </c:pt>
                  <c:pt idx="11">
                    <c:v>$2,879,446.80</c:v>
                  </c:pt>
                  <c:pt idx="12">
                    <c:v>$3,326,870.11</c:v>
                  </c:pt>
                  <c:pt idx="13">
                    <c:v>$3,159,111.38</c:v>
                  </c:pt>
                  <c:pt idx="14">
                    <c:v>$3,360,342.25</c:v>
                  </c:pt>
                  <c:pt idx="15">
                    <c:v>$3,159,586.64</c:v>
                  </c:pt>
                  <c:pt idx="16">
                    <c:v>$3,435,152.63</c:v>
                  </c:pt>
                  <c:pt idx="17">
                    <c:v>$3,469,952.56</c:v>
                  </c:pt>
                  <c:pt idx="18">
                    <c:v>$3,528,886.77</c:v>
                  </c:pt>
                  <c:pt idx="19">
                    <c:v>$3,506,402.47</c:v>
                  </c:pt>
                  <c:pt idx="20">
                    <c:v>$3,145,778.60</c:v>
                  </c:pt>
                </c:lvl>
                <c:lvl>
                  <c:pt idx="0">
                    <c:v>$3,139,385.89</c:v>
                  </c:pt>
                  <c:pt idx="1">
                    <c:v>$3,382,391.13</c:v>
                  </c:pt>
                  <c:pt idx="2">
                    <c:v>$3,654,424.63</c:v>
                  </c:pt>
                  <c:pt idx="3">
                    <c:v>$2,728,638.96</c:v>
                  </c:pt>
                  <c:pt idx="4">
                    <c:v>$3,539,096.92</c:v>
                  </c:pt>
                  <c:pt idx="5">
                    <c:v>$3,535,459.64</c:v>
                  </c:pt>
                  <c:pt idx="6">
                    <c:v>$3,611,655.06</c:v>
                  </c:pt>
                  <c:pt idx="7">
                    <c:v>$3,721,604.85</c:v>
                  </c:pt>
                  <c:pt idx="8">
                    <c:v>$3,470,852.11</c:v>
                  </c:pt>
                  <c:pt idx="9">
                    <c:v>$3,458,352.78</c:v>
                  </c:pt>
                  <c:pt idx="10">
                    <c:v>$3,423,296.55</c:v>
                  </c:pt>
                  <c:pt idx="11">
                    <c:v>$2,879,446.43</c:v>
                  </c:pt>
                  <c:pt idx="12">
                    <c:v>$3,326,869.33</c:v>
                  </c:pt>
                  <c:pt idx="13">
                    <c:v>$3,159,111.26</c:v>
                  </c:pt>
                  <c:pt idx="14">
                    <c:v>$3,360,341.87</c:v>
                  </c:pt>
                  <c:pt idx="15">
                    <c:v>$2,855,734.72</c:v>
                  </c:pt>
                  <c:pt idx="16">
                    <c:v>$3,435,151.97</c:v>
                  </c:pt>
                  <c:pt idx="17">
                    <c:v>$3,469,951.94</c:v>
                  </c:pt>
                  <c:pt idx="18">
                    <c:v>$3,528,886.22</c:v>
                  </c:pt>
                  <c:pt idx="19">
                    <c:v>$3,506,401.69</c:v>
                  </c:pt>
                  <c:pt idx="20">
                    <c:v>$3,362,728.34</c:v>
                  </c:pt>
                </c:lvl>
                <c:lvl>
                  <c:pt idx="0">
                    <c:v>$202,541.03</c:v>
                  </c:pt>
                  <c:pt idx="1">
                    <c:v>$218,218.78</c:v>
                  </c:pt>
                  <c:pt idx="2">
                    <c:v>$235,769.33</c:v>
                  </c:pt>
                  <c:pt idx="3">
                    <c:v>$176,041.22</c:v>
                  </c:pt>
                  <c:pt idx="4">
                    <c:v>$228,328.83</c:v>
                  </c:pt>
                  <c:pt idx="5">
                    <c:v>$228,094.17</c:v>
                  </c:pt>
                  <c:pt idx="6">
                    <c:v>$233,010.00</c:v>
                  </c:pt>
                  <c:pt idx="7">
                    <c:v>$240,103.54</c:v>
                  </c:pt>
                  <c:pt idx="8">
                    <c:v>$223,925.94</c:v>
                  </c:pt>
                  <c:pt idx="9">
                    <c:v>$223,119.53</c:v>
                  </c:pt>
                  <c:pt idx="10">
                    <c:v>$220,857.84</c:v>
                  </c:pt>
                  <c:pt idx="11">
                    <c:v>$185,770.74</c:v>
                  </c:pt>
                  <c:pt idx="12">
                    <c:v>$214,636.73</c:v>
                  </c:pt>
                  <c:pt idx="13">
                    <c:v>$203,813.63</c:v>
                  </c:pt>
                  <c:pt idx="14">
                    <c:v>$216,796.25</c:v>
                  </c:pt>
                  <c:pt idx="15">
                    <c:v>$184,240.95</c:v>
                  </c:pt>
                  <c:pt idx="16">
                    <c:v>$221,622.71</c:v>
                  </c:pt>
                  <c:pt idx="17">
                    <c:v>$223,867.87</c:v>
                  </c:pt>
                  <c:pt idx="18">
                    <c:v>$227,670.08</c:v>
                  </c:pt>
                  <c:pt idx="19">
                    <c:v>$226,219.46</c:v>
                  </c:pt>
                  <c:pt idx="20">
                    <c:v>$216,950.22</c:v>
                  </c:pt>
                </c:lvl>
                <c:lvl>
                  <c:pt idx="0">
                    <c:v>$405,082.05</c:v>
                  </c:pt>
                  <c:pt idx="1">
                    <c:v>$436,437.57</c:v>
                  </c:pt>
                  <c:pt idx="2">
                    <c:v>$471,538.66</c:v>
                  </c:pt>
                  <c:pt idx="3">
                    <c:v>$352,082.45</c:v>
                  </c:pt>
                  <c:pt idx="4">
                    <c:v>$456,657.67</c:v>
                  </c:pt>
                  <c:pt idx="5">
                    <c:v>$456,188.34</c:v>
                  </c:pt>
                  <c:pt idx="6">
                    <c:v>$466,020.01</c:v>
                  </c:pt>
                  <c:pt idx="7">
                    <c:v>$480,207.08</c:v>
                  </c:pt>
                  <c:pt idx="8">
                    <c:v>$447,851.89</c:v>
                  </c:pt>
                  <c:pt idx="9">
                    <c:v>$446,239.07</c:v>
                  </c:pt>
                  <c:pt idx="10">
                    <c:v>$441,715.68</c:v>
                  </c:pt>
                  <c:pt idx="11">
                    <c:v>$371,541.47</c:v>
                  </c:pt>
                  <c:pt idx="12">
                    <c:v>$429,273.46</c:v>
                  </c:pt>
                  <c:pt idx="13">
                    <c:v>$407,627.26</c:v>
                  </c:pt>
                  <c:pt idx="14">
                    <c:v>$433,592.50</c:v>
                  </c:pt>
                  <c:pt idx="15">
                    <c:v>$368,481.90</c:v>
                  </c:pt>
                  <c:pt idx="16">
                    <c:v>$443,245.42</c:v>
                  </c:pt>
                  <c:pt idx="17">
                    <c:v>$447,735.73</c:v>
                  </c:pt>
                  <c:pt idx="18">
                    <c:v>$455,340.16</c:v>
                  </c:pt>
                  <c:pt idx="19">
                    <c:v>$452,438.93</c:v>
                  </c:pt>
                  <c:pt idx="20">
                    <c:v>$433,900.43</c:v>
                  </c:pt>
                </c:lvl>
                <c:lvl>
                  <c:pt idx="0">
                    <c:v>$2,531,762.82</c:v>
                  </c:pt>
                  <c:pt idx="1">
                    <c:v>$2,727,734.78</c:v>
                  </c:pt>
                  <c:pt idx="2">
                    <c:v>$2,947,116.63</c:v>
                  </c:pt>
                  <c:pt idx="3">
                    <c:v>$2,200,515.29</c:v>
                  </c:pt>
                  <c:pt idx="4">
                    <c:v>$2,854,110.42</c:v>
                  </c:pt>
                  <c:pt idx="5">
                    <c:v>$2,851,177.13</c:v>
                  </c:pt>
                  <c:pt idx="6">
                    <c:v>$2,912,625.05</c:v>
                  </c:pt>
                  <c:pt idx="7">
                    <c:v>$3,001,294.23</c:v>
                  </c:pt>
                  <c:pt idx="8">
                    <c:v>$2,799,074.29</c:v>
                  </c:pt>
                  <c:pt idx="9">
                    <c:v>$2,788,994.18</c:v>
                  </c:pt>
                  <c:pt idx="10">
                    <c:v>$2,760,723.02</c:v>
                  </c:pt>
                  <c:pt idx="11">
                    <c:v>$2,322,134.22</c:v>
                  </c:pt>
                  <c:pt idx="12">
                    <c:v>$2,682,959.14</c:v>
                  </c:pt>
                  <c:pt idx="13">
                    <c:v>$2,547,670.37</c:v>
                  </c:pt>
                  <c:pt idx="14">
                    <c:v>$2,709,953.12</c:v>
                  </c:pt>
                  <c:pt idx="15">
                    <c:v>$2,303,011.87</c:v>
                  </c:pt>
                  <c:pt idx="16">
                    <c:v>$2,770,283.84</c:v>
                  </c:pt>
                  <c:pt idx="17">
                    <c:v>$2,798,348.34</c:v>
                  </c:pt>
                  <c:pt idx="18">
                    <c:v>$2,845,875.98</c:v>
                  </c:pt>
                  <c:pt idx="19">
                    <c:v>$2,827,743.30</c:v>
                  </c:pt>
                  <c:pt idx="20">
                    <c:v>$2,711,877.70</c:v>
                  </c:pt>
                </c:lvl>
                <c:lvl>
                  <c:pt idx="0">
                    <c:v>$7,572.57</c:v>
                  </c:pt>
                  <c:pt idx="1">
                    <c:v>$13,570.82</c:v>
                  </c:pt>
                  <c:pt idx="2">
                    <c:v>$14,662.27</c:v>
                  </c:pt>
                  <c:pt idx="3">
                    <c:v>$0.00</c:v>
                  </c:pt>
                  <c:pt idx="4">
                    <c:v>$33,843.21</c:v>
                  </c:pt>
                  <c:pt idx="5">
                    <c:v>$33,808.42</c:v>
                  </c:pt>
                  <c:pt idx="6">
                    <c:v>$28,837.87</c:v>
                  </c:pt>
                  <c:pt idx="7">
                    <c:v>$26,770.71</c:v>
                  </c:pt>
                  <c:pt idx="8">
                    <c:v>$22,214.88</c:v>
                  </c:pt>
                  <c:pt idx="9">
                    <c:v>$16,634.16</c:v>
                  </c:pt>
                  <c:pt idx="10">
                    <c:v>$13,734.94</c:v>
                  </c:pt>
                  <c:pt idx="11">
                    <c:v>$9,251.53</c:v>
                  </c:pt>
                  <c:pt idx="12">
                    <c:v>$8,024.80</c:v>
                  </c:pt>
                  <c:pt idx="13">
                    <c:v>$12,674.98</c:v>
                  </c:pt>
                  <c:pt idx="14">
                    <c:v>$21,507.56</c:v>
                  </c:pt>
                  <c:pt idx="15">
                    <c:v>$27,308.44</c:v>
                  </c:pt>
                  <c:pt idx="16">
                    <c:v>$27,428.55</c:v>
                  </c:pt>
                  <c:pt idx="17">
                    <c:v>$24,960.49</c:v>
                  </c:pt>
                  <c:pt idx="18">
                    <c:v>$25,384.42</c:v>
                  </c:pt>
                  <c:pt idx="19">
                    <c:v>$14,068.37</c:v>
                  </c:pt>
                  <c:pt idx="20">
                    <c:v>$16,174.22</c:v>
                  </c:pt>
                </c:lvl>
                <c:lvl>
                  <c:pt idx="0">
                    <c:v>0.30%</c:v>
                  </c:pt>
                  <c:pt idx="1">
                    <c:v>0.50%</c:v>
                  </c:pt>
                  <c:pt idx="2">
                    <c:v>0.50%</c:v>
                  </c:pt>
                  <c:pt idx="3">
                    <c:v>0.00%</c:v>
                  </c:pt>
                  <c:pt idx="4">
                    <c:v>1.20%</c:v>
                  </c:pt>
                  <c:pt idx="5">
                    <c:v>1.20%</c:v>
                  </c:pt>
                  <c:pt idx="6">
                    <c:v>1.00%</c:v>
                  </c:pt>
                  <c:pt idx="7">
                    <c:v>0.90%</c:v>
                  </c:pt>
                  <c:pt idx="8">
                    <c:v>0.80%</c:v>
                  </c:pt>
                  <c:pt idx="9">
                    <c:v>0.60%</c:v>
                  </c:pt>
                  <c:pt idx="10">
                    <c:v>0.50%</c:v>
                  </c:pt>
                  <c:pt idx="11">
                    <c:v>0.40%</c:v>
                  </c:pt>
                  <c:pt idx="12">
                    <c:v>0.30%</c:v>
                  </c:pt>
                  <c:pt idx="13">
                    <c:v>0.50%</c:v>
                  </c:pt>
                  <c:pt idx="14">
                    <c:v>0.80%</c:v>
                  </c:pt>
                  <c:pt idx="15">
                    <c:v>1.20%</c:v>
                  </c:pt>
                  <c:pt idx="16">
                    <c:v>1.00%</c:v>
                  </c:pt>
                  <c:pt idx="17">
                    <c:v>0.90%</c:v>
                  </c:pt>
                  <c:pt idx="18">
                    <c:v>0.90%</c:v>
                  </c:pt>
                  <c:pt idx="19">
                    <c:v>0.50%</c:v>
                  </c:pt>
                  <c:pt idx="20">
                    <c:v>0.60%</c:v>
                  </c:pt>
                </c:lvl>
                <c:lvl>
                  <c:pt idx="0">
                    <c:v>$2,523,827.65</c:v>
                  </c:pt>
                  <c:pt idx="1">
                    <c:v>$2,713,801.36</c:v>
                  </c:pt>
                  <c:pt idx="2">
                    <c:v>$2,932,091.76</c:v>
                  </c:pt>
                  <c:pt idx="3">
                    <c:v>$2,200,152.69</c:v>
                  </c:pt>
                  <c:pt idx="4">
                    <c:v>$2,819,904.61</c:v>
                  </c:pt>
                  <c:pt idx="5">
                    <c:v>$2,817,006.11</c:v>
                  </c:pt>
                  <c:pt idx="6">
                    <c:v>$2,883,424.57</c:v>
                  </c:pt>
                  <c:pt idx="7">
                    <c:v>$2,974,160.92</c:v>
                  </c:pt>
                  <c:pt idx="8">
                    <c:v>$2,776,496.81</c:v>
                  </c:pt>
                  <c:pt idx="9">
                    <c:v>$2,771,997.42</c:v>
                  </c:pt>
                  <c:pt idx="10">
                    <c:v>$2,746,625.48</c:v>
                  </c:pt>
                  <c:pt idx="11">
                    <c:v>$2,312,520.09</c:v>
                  </c:pt>
                  <c:pt idx="12">
                    <c:v>$2,674,565.39</c:v>
                  </c:pt>
                  <c:pt idx="13">
                    <c:v>$2,534,626.44</c:v>
                  </c:pt>
                  <c:pt idx="14">
                    <c:v>$2,688,076.61</c:v>
                  </c:pt>
                  <c:pt idx="15">
                    <c:v>$2,275,334.48</c:v>
                  </c:pt>
                  <c:pt idx="16">
                    <c:v>$2,742,486.34</c:v>
                  </c:pt>
                  <c:pt idx="17">
                    <c:v>$2,773,018.90</c:v>
                  </c:pt>
                  <c:pt idx="18">
                    <c:v>$2,820,122.61</c:v>
                  </c:pt>
                  <c:pt idx="19">
                    <c:v>$2,813,305.98</c:v>
                  </c:pt>
                  <c:pt idx="20">
                    <c:v>$2,695,334.53</c:v>
                  </c:pt>
                </c:lvl>
                <c:lvl>
                  <c:pt idx="0">
                    <c:v>$727,905.75</c:v>
                  </c:pt>
                  <c:pt idx="1">
                    <c:v>$785,361.39</c:v>
                  </c:pt>
                  <c:pt idx="2">
                    <c:v>$754,425.62</c:v>
                  </c:pt>
                  <c:pt idx="3">
                    <c:v>$42,889.35</c:v>
                  </c:pt>
                  <c:pt idx="4">
                    <c:v>$795,291.09</c:v>
                  </c:pt>
                  <c:pt idx="5">
                    <c:v>$805,094.37</c:v>
                  </c:pt>
                  <c:pt idx="6">
                    <c:v>$799,718.08</c:v>
                  </c:pt>
                  <c:pt idx="7">
                    <c:v>$811,328.05</c:v>
                  </c:pt>
                  <c:pt idx="8">
                    <c:v>$787,216.02</c:v>
                  </c:pt>
                  <c:pt idx="9">
                    <c:v>$738,932.80</c:v>
                  </c:pt>
                  <c:pt idx="10">
                    <c:v>$765,607.83</c:v>
                  </c:pt>
                  <c:pt idx="11">
                    <c:v>$737,018.47</c:v>
                  </c:pt>
                  <c:pt idx="12">
                    <c:v>$738,819.38</c:v>
                  </c:pt>
                  <c:pt idx="13">
                    <c:v>$758,989.74</c:v>
                  </c:pt>
                  <c:pt idx="14">
                    <c:v>$764,803.41</c:v>
                  </c:pt>
                  <c:pt idx="15">
                    <c:v>$764,381.10</c:v>
                  </c:pt>
                  <c:pt idx="16">
                    <c:v>$772,827.30</c:v>
                  </c:pt>
                  <c:pt idx="17">
                    <c:v>$803,720.06</c:v>
                  </c:pt>
                  <c:pt idx="18">
                    <c:v>$799,530.04</c:v>
                  </c:pt>
                  <c:pt idx="19">
                    <c:v>$783,943.12</c:v>
                  </c:pt>
                  <c:pt idx="20">
                    <c:v>$781,560.95</c:v>
                  </c:pt>
                </c:lvl>
                <c:lvl>
                  <c:pt idx="0">
                    <c:v>$184,676.25</c:v>
                  </c:pt>
                  <c:pt idx="1">
                    <c:v>$198,107.25</c:v>
                  </c:pt>
                  <c:pt idx="2">
                    <c:v>$204,721.00</c:v>
                  </c:pt>
                  <c:pt idx="3">
                    <c:v>$204,721.00</c:v>
                  </c:pt>
                  <c:pt idx="4">
                    <c:v>$198,107.25</c:v>
                  </c:pt>
                  <c:pt idx="5">
                    <c:v>$200,549.25</c:v>
                  </c:pt>
                  <c:pt idx="6">
                    <c:v>$194,444.25</c:v>
                  </c:pt>
                  <c:pt idx="7">
                    <c:v>$195,868.75</c:v>
                  </c:pt>
                  <c:pt idx="8">
                    <c:v>$189,967.25</c:v>
                  </c:pt>
                  <c:pt idx="9">
                    <c:v>$188,034.00</c:v>
                  </c:pt>
                  <c:pt idx="10">
                    <c:v>$184,065.75</c:v>
                  </c:pt>
                  <c:pt idx="11">
                    <c:v>$189,255.00</c:v>
                  </c:pt>
                  <c:pt idx="12">
                    <c:v>$189,404.80</c:v>
                  </c:pt>
                  <c:pt idx="13">
                    <c:v>$183,485.90</c:v>
                  </c:pt>
                  <c:pt idx="14">
                    <c:v>$184,812.55</c:v>
                  </c:pt>
                  <c:pt idx="15">
                    <c:v>$187,434.07</c:v>
                  </c:pt>
                  <c:pt idx="16">
                    <c:v>$188,792.50</c:v>
                  </c:pt>
                  <c:pt idx="17">
                    <c:v>$189,915.05</c:v>
                  </c:pt>
                  <c:pt idx="18">
                    <c:v>$185,935.10</c:v>
                  </c:pt>
                  <c:pt idx="19">
                    <c:v>$183,894.10</c:v>
                  </c:pt>
                  <c:pt idx="20">
                    <c:v>$183,179.75</c:v>
                  </c:pt>
                </c:lvl>
                <c:lvl>
                  <c:pt idx="0">
                    <c:v>$308,847.95</c:v>
                  </c:pt>
                  <c:pt idx="1">
                    <c:v>$328,503.57</c:v>
                  </c:pt>
                  <c:pt idx="2">
                    <c:v>$355,295.29</c:v>
                  </c:pt>
                  <c:pt idx="3">
                    <c:v>$203,590.27</c:v>
                  </c:pt>
                  <c:pt idx="4">
                    <c:v>$163,278.78</c:v>
                  </c:pt>
                  <c:pt idx="5">
                    <c:v>$159,306.03</c:v>
                  </c:pt>
                  <c:pt idx="6">
                    <c:v>$178,193.47</c:v>
                  </c:pt>
                  <c:pt idx="7">
                    <c:v>$178,632.61</c:v>
                  </c:pt>
                  <c:pt idx="8">
                    <c:v>$158,063.87</c:v>
                  </c:pt>
                  <c:pt idx="9">
                    <c:v>$199,964.51</c:v>
                  </c:pt>
                  <c:pt idx="10">
                    <c:v>$342,319.61</c:v>
                  </c:pt>
                  <c:pt idx="11">
                    <c:v>$259,868.40</c:v>
                  </c:pt>
                  <c:pt idx="12">
                    <c:v>$343,169.19</c:v>
                  </c:pt>
                  <c:pt idx="13">
                    <c:v>$314,088.63</c:v>
                  </c:pt>
                  <c:pt idx="14">
                    <c:v>$333,514.16</c:v>
                  </c:pt>
                  <c:pt idx="15">
                    <c:v>$129,076.53</c:v>
                  </c:pt>
                  <c:pt idx="16">
                    <c:v>$163,609.04</c:v>
                  </c:pt>
                  <c:pt idx="17">
                    <c:v>$161,531.31</c:v>
                  </c:pt>
                  <c:pt idx="18">
                    <c:v>$174,133.65</c:v>
                  </c:pt>
                  <c:pt idx="19">
                    <c:v>$162,733.00</c:v>
                  </c:pt>
                  <c:pt idx="20">
                    <c:v>$157,959.86</c:v>
                  </c:pt>
                </c:lvl>
                <c:lvl>
                  <c:pt idx="0">
                    <c:v>$1,008,360.25</c:v>
                  </c:pt>
                  <c:pt idx="1">
                    <c:v>$1,074,400.31</c:v>
                  </c:pt>
                  <c:pt idx="2">
                    <c:v>$1,248,783.11</c:v>
                  </c:pt>
                  <c:pt idx="3">
                    <c:v>$1,381,986.70</c:v>
                  </c:pt>
                  <c:pt idx="4">
                    <c:v>$1,294,737.76</c:v>
                  </c:pt>
                  <c:pt idx="5">
                    <c:v>$1,286,822.97</c:v>
                  </c:pt>
                  <c:pt idx="6">
                    <c:v>$1,363,811.29</c:v>
                  </c:pt>
                  <c:pt idx="7">
                    <c:v>$1,416,522.48</c:v>
                  </c:pt>
                  <c:pt idx="8">
                    <c:v>$1,271,155.20</c:v>
                  </c:pt>
                  <c:pt idx="9">
                    <c:v>$1,285,313.15</c:v>
                  </c:pt>
                  <c:pt idx="10">
                    <c:v>$1,098,790.79</c:v>
                  </c:pt>
                  <c:pt idx="11">
                    <c:v>$831,661.35</c:v>
                  </c:pt>
                  <c:pt idx="12">
                    <c:v>$1,078,026.43</c:v>
                  </c:pt>
                  <c:pt idx="13">
                    <c:v>$962,691.85</c:v>
                  </c:pt>
                  <c:pt idx="14">
                    <c:v>$1,050,830.64</c:v>
                  </c:pt>
                  <c:pt idx="15">
                    <c:v>$937,383.42</c:v>
                  </c:pt>
                  <c:pt idx="16">
                    <c:v>$1,265,279.21</c:v>
                  </c:pt>
                  <c:pt idx="17">
                    <c:v>$1,264,248.36</c:v>
                  </c:pt>
                  <c:pt idx="18">
                    <c:v>$1,322,411.97</c:v>
                  </c:pt>
                  <c:pt idx="19">
                    <c:v>$1,321,038.15</c:v>
                  </c:pt>
                  <c:pt idx="20">
                    <c:v>$1,246,004.72</c:v>
                  </c:pt>
                </c:lvl>
                <c:lvl>
                  <c:pt idx="0">
                    <c:v>$294,037.45</c:v>
                  </c:pt>
                  <c:pt idx="1">
                    <c:v>$327,428.85</c:v>
                  </c:pt>
                  <c:pt idx="2">
                    <c:v>$368,866.75</c:v>
                  </c:pt>
                  <c:pt idx="3">
                    <c:v>$366,965.38</c:v>
                  </c:pt>
                  <c:pt idx="4">
                    <c:v>$368,489.73</c:v>
                  </c:pt>
                  <c:pt idx="5">
                    <c:v>$365,233.49</c:v>
                  </c:pt>
                  <c:pt idx="6">
                    <c:v>$347,257.49</c:v>
                  </c:pt>
                  <c:pt idx="7">
                    <c:v>$371,809.04</c:v>
                  </c:pt>
                  <c:pt idx="8">
                    <c:v>$370,094.47</c:v>
                  </c:pt>
                  <c:pt idx="9">
                    <c:v>$359,752.96</c:v>
                  </c:pt>
                  <c:pt idx="10">
                    <c:v>$355,841.51</c:v>
                  </c:pt>
                  <c:pt idx="11">
                    <c:v>$294,716.87</c:v>
                  </c:pt>
                  <c:pt idx="12">
                    <c:v>$325,145.59</c:v>
                  </c:pt>
                  <c:pt idx="13">
                    <c:v>$315,370.33</c:v>
                  </c:pt>
                  <c:pt idx="14">
                    <c:v>$354,115.85</c:v>
                  </c:pt>
                  <c:pt idx="15">
                    <c:v>$257,059.36</c:v>
                  </c:pt>
                  <c:pt idx="16">
                    <c:v>$351,978.29</c:v>
                  </c:pt>
                  <c:pt idx="17">
                    <c:v>$353,604.12</c:v>
                  </c:pt>
                  <c:pt idx="18">
                    <c:v>$338,111.85</c:v>
                  </c:pt>
                  <c:pt idx="19">
                    <c:v>$361,697.60</c:v>
                  </c:pt>
                  <c:pt idx="20">
                    <c:v>$326,629.24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1836.688596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$401.05</c:v>
                  </c:pt>
                  <c:pt idx="1">
                    <c:v>$403.37</c:v>
                  </c:pt>
                  <c:pt idx="2">
                    <c:v>$408.46</c:v>
                  </c:pt>
                  <c:pt idx="3">
                    <c:v>$408.47</c:v>
                  </c:pt>
                  <c:pt idx="4">
                    <c:v>$408.47</c:v>
                  </c:pt>
                  <c:pt idx="5">
                    <c:v>$408.47</c:v>
                  </c:pt>
                  <c:pt idx="6">
                    <c:v>$420.02</c:v>
                  </c:pt>
                  <c:pt idx="7">
                    <c:v>$423.67</c:v>
                  </c:pt>
                  <c:pt idx="8">
                    <c:v>$423.69</c:v>
                  </c:pt>
                  <c:pt idx="9">
                    <c:v>$423.70</c:v>
                  </c:pt>
                  <c:pt idx="10">
                    <c:v>$423.69</c:v>
                  </c:pt>
                  <c:pt idx="11">
                    <c:v>$416.63</c:v>
                  </c:pt>
                  <c:pt idx="12">
                    <c:v>$421.46</c:v>
                  </c:pt>
                  <c:pt idx="13">
                    <c:v>$422.13</c:v>
                  </c:pt>
                  <c:pt idx="14">
                    <c:v>$422.31</c:v>
                  </c:pt>
                  <c:pt idx="15">
                    <c:v>$422.31</c:v>
                  </c:pt>
                  <c:pt idx="16">
                    <c:v>$422.31</c:v>
                  </c:pt>
                  <c:pt idx="17">
                    <c:v>$432.34</c:v>
                  </c:pt>
                  <c:pt idx="18">
                    <c:v>$438.82</c:v>
                  </c:pt>
                  <c:pt idx="19">
                    <c:v>$439.43</c:v>
                  </c:pt>
                  <c:pt idx="20">
                    <c:v>$435.41</c:v>
                  </c:pt>
                </c:lvl>
                <c:lvl>
                  <c:pt idx="0">
                    <c:v>$101.75</c:v>
                  </c:pt>
                  <c:pt idx="1">
                    <c:v>$101.75</c:v>
                  </c:pt>
                  <c:pt idx="2">
                    <c:v>$101.75</c:v>
                  </c:pt>
                  <c:pt idx="3">
                    <c:v>$101.75</c:v>
                  </c:pt>
                  <c:pt idx="4">
                    <c:v>$101.75</c:v>
                  </c:pt>
                  <c:pt idx="5">
                    <c:v>$101.75</c:v>
                  </c:pt>
                  <c:pt idx="6">
                    <c:v>$101.75</c:v>
                  </c:pt>
                  <c:pt idx="7">
                    <c:v>$101.75</c:v>
                  </c:pt>
                  <c:pt idx="8">
                    <c:v>$101.75</c:v>
                  </c:pt>
                  <c:pt idx="9">
                    <c:v>$101.75</c:v>
                  </c:pt>
                  <c:pt idx="10">
                    <c:v>$101.75</c:v>
                  </c:pt>
                  <c:pt idx="11">
                    <c:v>$101.75</c:v>
                  </c:pt>
                  <c:pt idx="12">
                    <c:v>$102.05</c:v>
                  </c:pt>
                  <c:pt idx="13">
                    <c:v>$102.05</c:v>
                  </c:pt>
                  <c:pt idx="14">
                    <c:v>$102.05</c:v>
                  </c:pt>
                  <c:pt idx="15">
                    <c:v>$102.05</c:v>
                  </c:pt>
                  <c:pt idx="16">
                    <c:v>$102.05</c:v>
                  </c:pt>
                  <c:pt idx="17">
                    <c:v>$102.05</c:v>
                  </c:pt>
                  <c:pt idx="18">
                    <c:v>$102.05</c:v>
                  </c:pt>
                  <c:pt idx="19">
                    <c:v>$102.05</c:v>
                  </c:pt>
                  <c:pt idx="20">
                    <c:v>$102.05</c:v>
                  </c:pt>
                </c:lvl>
                <c:lvl>
                  <c:pt idx="0">
                    <c:v>$2.18</c:v>
                  </c:pt>
                  <c:pt idx="1">
                    <c:v>$2.19</c:v>
                  </c:pt>
                  <c:pt idx="2">
                    <c:v>$2.21</c:v>
                  </c:pt>
                  <c:pt idx="3">
                    <c:v>$2.21</c:v>
                  </c:pt>
                  <c:pt idx="4">
                    <c:v>$2.21</c:v>
                  </c:pt>
                  <c:pt idx="5">
                    <c:v>$2.21</c:v>
                  </c:pt>
                  <c:pt idx="6">
                    <c:v>$2.27</c:v>
                  </c:pt>
                  <c:pt idx="7">
                    <c:v>$2.29</c:v>
                  </c:pt>
                  <c:pt idx="8">
                    <c:v>$2.29</c:v>
                  </c:pt>
                  <c:pt idx="9">
                    <c:v>$2.29</c:v>
                  </c:pt>
                  <c:pt idx="10">
                    <c:v>$2.29</c:v>
                  </c:pt>
                  <c:pt idx="11">
                    <c:v>$2.25</c:v>
                  </c:pt>
                  <c:pt idx="12">
                    <c:v>$2.28</c:v>
                  </c:pt>
                  <c:pt idx="13">
                    <c:v>$2.28</c:v>
                  </c:pt>
                  <c:pt idx="14">
                    <c:v>$2.28</c:v>
                  </c:pt>
                  <c:pt idx="15">
                    <c:v>$2.28</c:v>
                  </c:pt>
                  <c:pt idx="16">
                    <c:v>$2.28</c:v>
                  </c:pt>
                  <c:pt idx="17">
                    <c:v>$2.33</c:v>
                  </c:pt>
                  <c:pt idx="18">
                    <c:v>$2.37</c:v>
                  </c:pt>
                  <c:pt idx="19">
                    <c:v>$2.37</c:v>
                  </c:pt>
                  <c:pt idx="20">
                    <c:v>$2.35</c:v>
                  </c:pt>
                </c:lvl>
                <c:lvl>
                  <c:pt idx="0">
                    <c:v>$1.91</c:v>
                  </c:pt>
                  <c:pt idx="1">
                    <c:v>$1.92</c:v>
                  </c:pt>
                  <c:pt idx="2">
                    <c:v>$1.94</c:v>
                  </c:pt>
                  <c:pt idx="3">
                    <c:v>$1.94</c:v>
                  </c:pt>
                  <c:pt idx="4">
                    <c:v>$1.94</c:v>
                  </c:pt>
                  <c:pt idx="5">
                    <c:v>$1.94</c:v>
                  </c:pt>
                  <c:pt idx="6">
                    <c:v>$1.99</c:v>
                  </c:pt>
                  <c:pt idx="7">
                    <c:v>$2.01</c:v>
                  </c:pt>
                  <c:pt idx="8">
                    <c:v>$2.01</c:v>
                  </c:pt>
                  <c:pt idx="9">
                    <c:v>$2.01</c:v>
                  </c:pt>
                  <c:pt idx="10">
                    <c:v>$2.01</c:v>
                  </c:pt>
                  <c:pt idx="11">
                    <c:v>$1.97</c:v>
                  </c:pt>
                  <c:pt idx="12">
                    <c:v>$2.00</c:v>
                  </c:pt>
                  <c:pt idx="13">
                    <c:v>$2.00</c:v>
                  </c:pt>
                  <c:pt idx="14">
                    <c:v>$2.00</c:v>
                  </c:pt>
                  <c:pt idx="15">
                    <c:v>$2.00</c:v>
                  </c:pt>
                  <c:pt idx="16">
                    <c:v>$2.00</c:v>
                  </c:pt>
                  <c:pt idx="17">
                    <c:v>$2.05</c:v>
                  </c:pt>
                  <c:pt idx="18">
                    <c:v>$2.07</c:v>
                  </c:pt>
                  <c:pt idx="19">
                    <c:v>$2.08</c:v>
                  </c:pt>
                  <c:pt idx="20">
                    <c:v>$2.06</c:v>
                  </c:pt>
                </c:lvl>
                <c:lvl>
                  <c:pt idx="0">
                    <c:v>$1.07</c:v>
                  </c:pt>
                  <c:pt idx="1">
                    <c:v>$1.08</c:v>
                  </c:pt>
                  <c:pt idx="2">
                    <c:v>$1.09</c:v>
                  </c:pt>
                  <c:pt idx="3">
                    <c:v>$1.09</c:v>
                  </c:pt>
                  <c:pt idx="4">
                    <c:v>$1.09</c:v>
                  </c:pt>
                  <c:pt idx="5">
                    <c:v>$1.09</c:v>
                  </c:pt>
                  <c:pt idx="6">
                    <c:v>$1.11</c:v>
                  </c:pt>
                  <c:pt idx="7">
                    <c:v>$1.12</c:v>
                  </c:pt>
                  <c:pt idx="8">
                    <c:v>$1.12</c:v>
                  </c:pt>
                  <c:pt idx="9">
                    <c:v>$1.12</c:v>
                  </c:pt>
                  <c:pt idx="10">
                    <c:v>$1.12</c:v>
                  </c:pt>
                  <c:pt idx="11">
                    <c:v>$1.10</c:v>
                  </c:pt>
                  <c:pt idx="12">
                    <c:v>$1.12</c:v>
                  </c:pt>
                  <c:pt idx="13">
                    <c:v>$1.12</c:v>
                  </c:pt>
                  <c:pt idx="14">
                    <c:v>$1.12</c:v>
                  </c:pt>
                  <c:pt idx="15">
                    <c:v>$1.12</c:v>
                  </c:pt>
                  <c:pt idx="16">
                    <c:v>$1.12</c:v>
                  </c:pt>
                  <c:pt idx="17">
                    <c:v>$1.14</c:v>
                  </c:pt>
                  <c:pt idx="18">
                    <c:v>$1.16</c:v>
                  </c:pt>
                  <c:pt idx="19">
                    <c:v>$1.16</c:v>
                  </c:pt>
                  <c:pt idx="20">
                    <c:v>$1.15</c:v>
                  </c:pt>
                </c:lvl>
                <c:lvl>
                  <c:pt idx="0">
                    <c:v>$362.60</c:v>
                  </c:pt>
                  <c:pt idx="1">
                    <c:v>$362.60</c:v>
                  </c:pt>
                  <c:pt idx="2">
                    <c:v>$362.60</c:v>
                  </c:pt>
                  <c:pt idx="3">
                    <c:v>$362.60</c:v>
                  </c:pt>
                  <c:pt idx="4">
                    <c:v>$362.60</c:v>
                  </c:pt>
                  <c:pt idx="5">
                    <c:v>$362.60</c:v>
                  </c:pt>
                  <c:pt idx="6">
                    <c:v>$362.60</c:v>
                  </c:pt>
                  <c:pt idx="7">
                    <c:v>$362.60</c:v>
                  </c:pt>
                  <c:pt idx="8">
                    <c:v>$362.60</c:v>
                  </c:pt>
                  <c:pt idx="9">
                    <c:v>$362.60</c:v>
                  </c:pt>
                  <c:pt idx="10">
                    <c:v>$362.60</c:v>
                  </c:pt>
                  <c:pt idx="11">
                    <c:v>$362.60</c:v>
                  </c:pt>
                  <c:pt idx="12">
                    <c:v>$368.95</c:v>
                  </c:pt>
                  <c:pt idx="13">
                    <c:v>$368.95</c:v>
                  </c:pt>
                  <c:pt idx="14">
                    <c:v>$368.95</c:v>
                  </c:pt>
                  <c:pt idx="15">
                    <c:v>$368.95</c:v>
                  </c:pt>
                  <c:pt idx="16">
                    <c:v>$368.95</c:v>
                  </c:pt>
                  <c:pt idx="17">
                    <c:v>$368.95</c:v>
                  </c:pt>
                  <c:pt idx="18">
                    <c:v>$368.95</c:v>
                  </c:pt>
                  <c:pt idx="19">
                    <c:v>$368.95</c:v>
                  </c:pt>
                  <c:pt idx="20">
                    <c:v>$368.95</c:v>
                  </c:pt>
                </c:lvl>
                <c:lvl>
                  <c:pt idx="0">
                    <c:v>94.56</c:v>
                  </c:pt>
                  <c:pt idx="1">
                    <c:v>94.19</c:v>
                  </c:pt>
                  <c:pt idx="2">
                    <c:v>94.28</c:v>
                  </c:pt>
                  <c:pt idx="3">
                    <c:v>94.93</c:v>
                  </c:pt>
                  <c:pt idx="4">
                    <c:v>93.13</c:v>
                  </c:pt>
                  <c:pt idx="5">
                    <c:v>93.14</c:v>
                  </c:pt>
                  <c:pt idx="6">
                    <c:v>93.39</c:v>
                  </c:pt>
                  <c:pt idx="7">
                    <c:v>93.66</c:v>
                  </c:pt>
                  <c:pt idx="8">
                    <c:v>93.76</c:v>
                  </c:pt>
                  <c:pt idx="9">
                    <c:v>94.1</c:v>
                  </c:pt>
                  <c:pt idx="10">
                    <c:v>94.17</c:v>
                  </c:pt>
                  <c:pt idx="11">
                    <c:v>94.32</c:v>
                  </c:pt>
                  <c:pt idx="12">
                    <c:v>94.57</c:v>
                  </c:pt>
                  <c:pt idx="13">
                    <c:v>94.2</c:v>
                  </c:pt>
                  <c:pt idx="14">
                    <c:v>93.81</c:v>
                  </c:pt>
                  <c:pt idx="15">
                    <c:v>93.14</c:v>
                  </c:pt>
                  <c:pt idx="16">
                    <c:v>93.4</c:v>
                  </c:pt>
                  <c:pt idx="17">
                    <c:v>93.59</c:v>
                  </c:pt>
                  <c:pt idx="18">
                    <c:v>93.67</c:v>
                  </c:pt>
                  <c:pt idx="19">
                    <c:v>94.27</c:v>
                  </c:pt>
                  <c:pt idx="20">
                    <c:v>94.01</c:v>
                  </c:pt>
                </c:lvl>
                <c:lvl>
                  <c:pt idx="0">
                    <c:v>325156</c:v>
                  </c:pt>
                  <c:pt idx="1">
                    <c:v>361949</c:v>
                  </c:pt>
                  <c:pt idx="2">
                    <c:v>404533</c:v>
                  </c:pt>
                  <c:pt idx="3">
                    <c:v>378731</c:v>
                  </c:pt>
                  <c:pt idx="4">
                    <c:v>422677</c:v>
                  </c:pt>
                  <c:pt idx="5">
                    <c:v>418685</c:v>
                  </c:pt>
                  <c:pt idx="6">
                    <c:v>412155</c:v>
                  </c:pt>
                  <c:pt idx="7">
                    <c:v>417877</c:v>
                  </c:pt>
                  <c:pt idx="8">
                    <c:v>383440</c:v>
                  </c:pt>
                  <c:pt idx="9">
                    <c:v>383597</c:v>
                  </c:pt>
                  <c:pt idx="10">
                    <c:v>362838</c:v>
                  </c:pt>
                  <c:pt idx="11">
                    <c:v>282886</c:v>
                  </c:pt>
                  <c:pt idx="12">
                    <c:v>336846</c:v>
                  </c:pt>
                  <c:pt idx="13">
                    <c:v>320568</c:v>
                  </c:pt>
                  <c:pt idx="14">
                    <c:v>364109</c:v>
                  </c:pt>
                  <c:pt idx="15">
                    <c:v>378000</c:v>
                  </c:pt>
                  <c:pt idx="16">
                    <c:v>389248</c:v>
                  </c:pt>
                  <c:pt idx="17">
                    <c:v>375229</c:v>
                  </c:pt>
                  <c:pt idx="18">
                    <c:v>374983</c:v>
                  </c:pt>
                  <c:pt idx="19">
                    <c:v>360110</c:v>
                  </c:pt>
                  <c:pt idx="20">
                    <c:v>345944</c:v>
                  </c:pt>
                </c:lvl>
                <c:lvl>
                  <c:pt idx="0">
                    <c:v>2228.82</c:v>
                  </c:pt>
                  <c:pt idx="1">
                    <c:v>2558.21</c:v>
                  </c:pt>
                  <c:pt idx="2">
                    <c:v>2697.36</c:v>
                  </c:pt>
                  <c:pt idx="3">
                    <c:v>2783.11</c:v>
                  </c:pt>
                  <c:pt idx="4">
                    <c:v>2547.62</c:v>
                  </c:pt>
                  <c:pt idx="5">
                    <c:v>2610.92</c:v>
                  </c:pt>
                  <c:pt idx="6">
                    <c:v>2538.14</c:v>
                  </c:pt>
                  <c:pt idx="7">
                    <c:v>2632.99</c:v>
                  </c:pt>
                  <c:pt idx="8">
                    <c:v>2518.37</c:v>
                  </c:pt>
                  <c:pt idx="9">
                    <c:v>2475.05</c:v>
                  </c:pt>
                  <c:pt idx="10">
                    <c:v>2474.18</c:v>
                  </c:pt>
                  <c:pt idx="11">
                    <c:v>1894.38</c:v>
                  </c:pt>
                  <c:pt idx="12">
                    <c:v>2311.38</c:v>
                  </c:pt>
                  <c:pt idx="13">
                    <c:v>2349.01</c:v>
                  </c:pt>
                  <c:pt idx="14">
                    <c:v>2326.18</c:v>
                  </c:pt>
                  <c:pt idx="15">
                    <c:v>1836.69</c:v>
                  </c:pt>
                  <c:pt idx="16">
                    <c:v>2398.75</c:v>
                  </c:pt>
                  <c:pt idx="17">
                    <c:v>2428.06</c:v>
                  </c:pt>
                  <c:pt idx="18">
                    <c:v>2366.10</c:v>
                  </c:pt>
                  <c:pt idx="19">
                    <c:v>2398.32</c:v>
                  </c:pt>
                  <c:pt idx="20">
                    <c:v>2324.72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2199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1798</c:v>
                  </c:pt>
                  <c:pt idx="1">
                    <c:v>1904</c:v>
                  </c:pt>
                  <c:pt idx="2">
                    <c:v>2012</c:v>
                  </c:pt>
                  <c:pt idx="3">
                    <c:v>1995</c:v>
                  </c:pt>
                  <c:pt idx="4">
                    <c:v>1928</c:v>
                  </c:pt>
                  <c:pt idx="5">
                    <c:v>1968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1713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1781</c:v>
                  </c:pt>
                  <c:pt idx="14">
                    <c:v>1805</c:v>
                  </c:pt>
                  <c:pt idx="15">
                    <c:v>1539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1777</c:v>
                  </c:pt>
                  <c:pt idx="19">
                    <c:v>1802</c:v>
                  </c:pt>
                  <c:pt idx="20">
                    <c:v>1760</c:v>
                  </c:pt>
                </c:lvl>
                <c:lvl>
                  <c:pt idx="0">
                    <c:v>1732</c:v>
                  </c:pt>
                  <c:pt idx="1">
                    <c:v>1749</c:v>
                  </c:pt>
                  <c:pt idx="2">
                    <c:v>1860</c:v>
                  </c:pt>
                  <c:pt idx="3">
                    <c:v>1698</c:v>
                  </c:pt>
                  <c:pt idx="4">
                    <c:v>1725</c:v>
                  </c:pt>
                  <c:pt idx="5">
                    <c:v>1720</c:v>
                  </c:pt>
                  <c:pt idx="6">
                    <c:v>1693</c:v>
                  </c:pt>
                  <c:pt idx="7">
                    <c:v>1743</c:v>
                  </c:pt>
                  <c:pt idx="8">
                    <c:v>1625</c:v>
                  </c:pt>
                  <c:pt idx="9">
                    <c:v>1538</c:v>
                  </c:pt>
                  <c:pt idx="10">
                    <c:v>1778</c:v>
                  </c:pt>
                  <c:pt idx="11">
                    <c:v>1705</c:v>
                  </c:pt>
                  <c:pt idx="12">
                    <c:v>1774</c:v>
                  </c:pt>
                  <c:pt idx="13">
                    <c:v>1695</c:v>
                  </c:pt>
                  <c:pt idx="14">
                    <c:v>1692</c:v>
                  </c:pt>
                  <c:pt idx="15">
                    <c:v>1759</c:v>
                  </c:pt>
                  <c:pt idx="16">
                    <c:v>1629</c:v>
                  </c:pt>
                  <c:pt idx="17">
                    <c:v>1593</c:v>
                  </c:pt>
                  <c:pt idx="18">
                    <c:v>1532</c:v>
                  </c:pt>
                  <c:pt idx="19">
                    <c:v>1524</c:v>
                  </c:pt>
                  <c:pt idx="20">
                    <c:v>1498</c:v>
                  </c:pt>
                </c:lvl>
                <c:lvl>
                  <c:pt idx="0">
                    <c:v>945199</c:v>
                  </c:pt>
                  <c:pt idx="1">
                    <c:v>1014895</c:v>
                  </c:pt>
                  <c:pt idx="2">
                    <c:v>1143898</c:v>
                  </c:pt>
                  <c:pt idx="3">
                    <c:v>1142190</c:v>
                  </c:pt>
                  <c:pt idx="4">
                    <c:v>1080393</c:v>
                  </c:pt>
                  <c:pt idx="5">
                    <c:v>1071520</c:v>
                  </c:pt>
                  <c:pt idx="6">
                    <c:v>1076376</c:v>
                  </c:pt>
                  <c:pt idx="7">
                    <c:v>1116598</c:v>
                  </c:pt>
                  <c:pt idx="8">
                    <c:v>1033537</c:v>
                  </c:pt>
                  <c:pt idx="9">
                    <c:v>1049618</c:v>
                  </c:pt>
                  <c:pt idx="10">
                    <c:v>1015403</c:v>
                  </c:pt>
                  <c:pt idx="11">
                    <c:v>803368</c:v>
                  </c:pt>
                  <c:pt idx="12">
                    <c:v>980209</c:v>
                  </c:pt>
                  <c:pt idx="13">
                    <c:v>899765</c:v>
                  </c:pt>
                  <c:pt idx="14">
                    <c:v>986487</c:v>
                  </c:pt>
                  <c:pt idx="15">
                    <c:v>753777</c:v>
                  </c:pt>
                  <c:pt idx="16">
                    <c:v>1017260</c:v>
                  </c:pt>
                  <c:pt idx="17">
                    <c:v>996476</c:v>
                  </c:pt>
                  <c:pt idx="18">
                    <c:v>1003415</c:v>
                  </c:pt>
                  <c:pt idx="19">
                    <c:v>1017081</c:v>
                  </c:pt>
                  <c:pt idx="20">
                    <c:v>954067</c:v>
                  </c:pt>
                </c:lvl>
                <c:lvl>
                  <c:pt idx="0">
                    <c:v>141986</c:v>
                  </c:pt>
                  <c:pt idx="1">
                    <c:v>150228</c:v>
                  </c:pt>
                  <c:pt idx="2">
                    <c:v>160629</c:v>
                  </c:pt>
                  <c:pt idx="3">
                    <c:v>92039</c:v>
                  </c:pt>
                  <c:pt idx="4">
                    <c:v>73815</c:v>
                  </c:pt>
                  <c:pt idx="5">
                    <c:v>72019</c:v>
                  </c:pt>
                  <c:pt idx="6">
                    <c:v>78527</c:v>
                  </c:pt>
                  <c:pt idx="7">
                    <c:v>78101</c:v>
                  </c:pt>
                  <c:pt idx="8">
                    <c:v>69105</c:v>
                  </c:pt>
                  <c:pt idx="9">
                    <c:v>87420</c:v>
                  </c:pt>
                  <c:pt idx="10">
                    <c:v>149661</c:v>
                  </c:pt>
                  <c:pt idx="11">
                    <c:v>115374</c:v>
                  </c:pt>
                  <c:pt idx="12">
                    <c:v>150493</c:v>
                  </c:pt>
                  <c:pt idx="13">
                    <c:v>137541</c:v>
                  </c:pt>
                  <c:pt idx="14">
                    <c:v>145990</c:v>
                  </c:pt>
                  <c:pt idx="15">
                    <c:v>56501</c:v>
                  </c:pt>
                  <c:pt idx="16">
                    <c:v>71617</c:v>
                  </c:pt>
                  <c:pt idx="17">
                    <c:v>69202</c:v>
                  </c:pt>
                  <c:pt idx="18">
                    <c:v>73589</c:v>
                  </c:pt>
                  <c:pt idx="19">
                    <c:v>68684</c:v>
                  </c:pt>
                  <c:pt idx="20">
                    <c:v>67117</c:v>
                  </c:pt>
                </c:lvl>
                <c:lvl>
                  <c:pt idx="0">
                    <c:v>528463</c:v>
                  </c:pt>
                  <c:pt idx="1">
                    <c:v>560167</c:v>
                  </c:pt>
                  <c:pt idx="2">
                    <c:v>643769</c:v>
                  </c:pt>
                  <c:pt idx="3">
                    <c:v>712401</c:v>
                  </c:pt>
                  <c:pt idx="4">
                    <c:v>667425</c:v>
                  </c:pt>
                  <c:pt idx="5">
                    <c:v>663345</c:v>
                  </c:pt>
                  <c:pt idx="6">
                    <c:v>685539</c:v>
                  </c:pt>
                  <c:pt idx="7">
                    <c:v>706495</c:v>
                  </c:pt>
                  <c:pt idx="8">
                    <c:v>633961</c:v>
                  </c:pt>
                  <c:pt idx="9">
                    <c:v>640990</c:v>
                  </c:pt>
                  <c:pt idx="10">
                    <c:v>547998</c:v>
                  </c:pt>
                  <c:pt idx="11">
                    <c:v>421137</c:v>
                  </c:pt>
                  <c:pt idx="12">
                    <c:v>539148</c:v>
                  </c:pt>
                  <c:pt idx="13">
                    <c:v>480769</c:v>
                  </c:pt>
                  <c:pt idx="14">
                    <c:v>524576</c:v>
                  </c:pt>
                  <c:pt idx="15">
                    <c:v>467943</c:v>
                  </c:pt>
                  <c:pt idx="16">
                    <c:v>631629</c:v>
                  </c:pt>
                  <c:pt idx="17">
                    <c:v>617882</c:v>
                  </c:pt>
                  <c:pt idx="18">
                    <c:v>637645</c:v>
                  </c:pt>
                  <c:pt idx="19">
                    <c:v>636185</c:v>
                  </c:pt>
                  <c:pt idx="20">
                    <c:v>603860</c:v>
                  </c:pt>
                </c:lvl>
                <c:lvl>
                  <c:pt idx="0">
                    <c:v>274750</c:v>
                  </c:pt>
                  <c:pt idx="1">
                    <c:v>304500</c:v>
                  </c:pt>
                  <c:pt idx="2">
                    <c:v>339500</c:v>
                  </c:pt>
                  <c:pt idx="3">
                    <c:v>337750</c:v>
                  </c:pt>
                  <c:pt idx="4">
                    <c:v>339153</c:v>
                  </c:pt>
                  <c:pt idx="5">
                    <c:v>336156</c:v>
                  </c:pt>
                  <c:pt idx="6">
                    <c:v>312310</c:v>
                  </c:pt>
                  <c:pt idx="7">
                    <c:v>332002</c:v>
                  </c:pt>
                  <c:pt idx="8">
                    <c:v>330471</c:v>
                  </c:pt>
                  <c:pt idx="9">
                    <c:v>321208</c:v>
                  </c:pt>
                  <c:pt idx="10">
                    <c:v>317744</c:v>
                  </c:pt>
                  <c:pt idx="11">
                    <c:v>266857</c:v>
                  </c:pt>
                  <c:pt idx="12">
                    <c:v>290568</c:v>
                  </c:pt>
                  <c:pt idx="13">
                    <c:v>281455</c:v>
                  </c:pt>
                  <c:pt idx="14">
                    <c:v>315921</c:v>
                  </c:pt>
                  <c:pt idx="15">
                    <c:v>229333</c:v>
                  </c:pt>
                  <c:pt idx="16">
                    <c:v>314014</c:v>
                  </c:pt>
                  <c:pt idx="17">
                    <c:v>309392</c:v>
                  </c:pt>
                  <c:pt idx="18">
                    <c:v>292181</c:v>
                  </c:pt>
                  <c:pt idx="19">
                    <c:v>312212</c:v>
                  </c:pt>
                  <c:pt idx="20">
                    <c:v>283090</c:v>
                  </c:pt>
                </c:lvl>
                <c:lvl>
                  <c:pt idx="0">
                    <c:v>31</c:v>
                  </c:pt>
                  <c:pt idx="1">
                    <c:v>29</c:v>
                  </c:pt>
                  <c:pt idx="2">
                    <c:v>31</c:v>
                  </c:pt>
                  <c:pt idx="3">
                    <c:v>30</c:v>
                  </c:pt>
                  <c:pt idx="4">
                    <c:v>31</c:v>
                  </c:pt>
                  <c:pt idx="5">
                    <c:v>30</c:v>
                  </c:pt>
                  <c:pt idx="6">
                    <c:v>31</c:v>
                  </c:pt>
                  <c:pt idx="7">
                    <c:v>31</c:v>
                  </c:pt>
                  <c:pt idx="8">
                    <c:v>30</c:v>
                  </c:pt>
                  <c:pt idx="9">
                    <c:v>31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31</c:v>
                  </c:pt>
                  <c:pt idx="13">
                    <c:v>28</c:v>
                  </c:pt>
                  <c:pt idx="14">
                    <c:v>31</c:v>
                  </c:pt>
                  <c:pt idx="15">
                    <c:v>30</c:v>
                  </c:pt>
                  <c:pt idx="16">
                    <c:v>31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31</c:v>
                  </c:pt>
                  <c:pt idx="20">
                    <c:v>30</c:v>
                  </c:pt>
                </c:lvl>
                <c:lvl>
                  <c:pt idx="0">
                    <c:v>31/01/2024</c:v>
                  </c:pt>
                  <c:pt idx="1">
                    <c:v>29/02/2024</c:v>
                  </c:pt>
                  <c:pt idx="2">
                    <c:v>31/03/2024</c:v>
                  </c:pt>
                  <c:pt idx="3">
                    <c:v>30/04/2024</c:v>
                  </c:pt>
                  <c:pt idx="4">
                    <c:v>31/05/2024</c:v>
                  </c:pt>
                  <c:pt idx="5">
                    <c:v>30/06/2024</c:v>
                  </c:pt>
                  <c:pt idx="6">
                    <c:v>31/07/2024</c:v>
                  </c:pt>
                  <c:pt idx="7">
                    <c:v>31/08/2024</c:v>
                  </c:pt>
                  <c:pt idx="8">
                    <c:v>30/09/2024</c:v>
                  </c:pt>
                  <c:pt idx="9">
                    <c:v>31/10/2024</c:v>
                  </c:pt>
                  <c:pt idx="10">
                    <c:v>30/11/2024</c:v>
                  </c:pt>
                  <c:pt idx="11">
                    <c:v>31/12/2024</c:v>
                  </c:pt>
                  <c:pt idx="12">
                    <c:v>31/01/2025</c:v>
                  </c:pt>
                  <c:pt idx="13">
                    <c:v>28/02/2025</c:v>
                  </c:pt>
                  <c:pt idx="14">
                    <c:v>31/03/2025</c:v>
                  </c:pt>
                  <c:pt idx="15">
                    <c:v>30/04/2025</c:v>
                  </c:pt>
                  <c:pt idx="16">
                    <c:v>31/05/2025</c:v>
                  </c:pt>
                  <c:pt idx="17">
                    <c:v>30/06/2025</c:v>
                  </c:pt>
                  <c:pt idx="18">
                    <c:v>31/07/2025</c:v>
                  </c:pt>
                  <c:pt idx="19">
                    <c:v>31/08/2025</c:v>
                  </c:pt>
                  <c:pt idx="20">
                    <c:v>30/09/2025</c:v>
                  </c:pt>
                </c:lvl>
              </c:multiLvlStrCache>
            </c:multiLvlStrRef>
          </c:cat>
          <c:val>
            <c:numRef>
              <c:f>Hoja1!$AL$3:$AL$23</c:f>
              <c:numCache>
                <c:formatCode>General</c:formatCode>
                <c:ptCount val="21"/>
                <c:pt idx="0">
                  <c:v>402</c:v>
                </c:pt>
                <c:pt idx="1">
                  <c:v>360</c:v>
                </c:pt>
                <c:pt idx="2">
                  <c:v>394</c:v>
                </c:pt>
                <c:pt idx="3">
                  <c:v>427</c:v>
                </c:pt>
                <c:pt idx="4">
                  <c:v>456</c:v>
                </c:pt>
                <c:pt idx="5">
                  <c:v>430</c:v>
                </c:pt>
                <c:pt idx="6">
                  <c:v>456</c:v>
                </c:pt>
                <c:pt idx="7">
                  <c:v>457</c:v>
                </c:pt>
                <c:pt idx="8">
                  <c:v>429</c:v>
                </c:pt>
                <c:pt idx="9">
                  <c:v>449</c:v>
                </c:pt>
                <c:pt idx="10">
                  <c:v>388</c:v>
                </c:pt>
                <c:pt idx="11">
                  <c:v>394</c:v>
                </c:pt>
                <c:pt idx="12">
                  <c:v>402</c:v>
                </c:pt>
                <c:pt idx="13">
                  <c:v>360</c:v>
                </c:pt>
                <c:pt idx="14">
                  <c:v>394</c:v>
                </c:pt>
                <c:pt idx="15">
                  <c:v>427</c:v>
                </c:pt>
                <c:pt idx="16">
                  <c:v>456</c:v>
                </c:pt>
                <c:pt idx="17">
                  <c:v>430</c:v>
                </c:pt>
                <c:pt idx="18">
                  <c:v>456</c:v>
                </c:pt>
                <c:pt idx="19">
                  <c:v>457</c:v>
                </c:pt>
                <c:pt idx="20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DB-4C5A-9BB5-44A0BCD50CF4}"/>
            </c:ext>
          </c:extLst>
        </c:ser>
        <c:ser>
          <c:idx val="8"/>
          <c:order val="2"/>
          <c:tx>
            <c:v>kWh total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Hoja1!$G$3:$G$23</c:f>
              <c:numCache>
                <c:formatCode>General</c:formatCode>
                <c:ptCount val="21"/>
                <c:pt idx="0">
                  <c:v>945199</c:v>
                </c:pt>
                <c:pt idx="1">
                  <c:v>1014895</c:v>
                </c:pt>
                <c:pt idx="2">
                  <c:v>1143898</c:v>
                </c:pt>
                <c:pt idx="3">
                  <c:v>1142190</c:v>
                </c:pt>
                <c:pt idx="4">
                  <c:v>1080393</c:v>
                </c:pt>
                <c:pt idx="5">
                  <c:v>1071520</c:v>
                </c:pt>
                <c:pt idx="6">
                  <c:v>1076376</c:v>
                </c:pt>
                <c:pt idx="7">
                  <c:v>1116598</c:v>
                </c:pt>
                <c:pt idx="8">
                  <c:v>1033537</c:v>
                </c:pt>
                <c:pt idx="9">
                  <c:v>1049618</c:v>
                </c:pt>
                <c:pt idx="10">
                  <c:v>1015403</c:v>
                </c:pt>
                <c:pt idx="11">
                  <c:v>803368</c:v>
                </c:pt>
                <c:pt idx="12">
                  <c:v>980209</c:v>
                </c:pt>
                <c:pt idx="13">
                  <c:v>899765</c:v>
                </c:pt>
                <c:pt idx="14">
                  <c:v>986487</c:v>
                </c:pt>
                <c:pt idx="15">
                  <c:v>753777</c:v>
                </c:pt>
                <c:pt idx="16">
                  <c:v>1017260</c:v>
                </c:pt>
                <c:pt idx="17">
                  <c:v>996476</c:v>
                </c:pt>
                <c:pt idx="18">
                  <c:v>1003415</c:v>
                </c:pt>
                <c:pt idx="19">
                  <c:v>1017081</c:v>
                </c:pt>
                <c:pt idx="20">
                  <c:v>954067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C5-42EA-9826-C0CCD77F92BE}"/>
            </c:ext>
          </c:extLst>
        </c:ser>
        <c:ser>
          <c:idx val="2"/>
          <c:order val="3"/>
          <c:tx>
            <c:strRef>
              <c:f>Hoja1!$AM$2</c:f>
              <c:strCache>
                <c:ptCount val="1"/>
                <c:pt idx="0">
                  <c:v>HORAS PUNTA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Hoja1!$B$3:$AJ$23</c:f>
              <c:multiLvlStrCache>
                <c:ptCount val="21"/>
                <c:lvl>
                  <c:pt idx="7">
                    <c:v>NET MET </c:v>
                  </c:pt>
                  <c:pt idx="8">
                    <c:v>NET MET </c:v>
                  </c:pt>
                  <c:pt idx="9">
                    <c:v>NET MET </c:v>
                  </c:pt>
                  <c:pt idx="10">
                    <c:v>NET MET </c:v>
                  </c:pt>
                  <c:pt idx="11">
                    <c:v>NET MET </c:v>
                  </c:pt>
                  <c:pt idx="12">
                    <c:v>NET MET </c:v>
                  </c:pt>
                  <c:pt idx="13">
                    <c:v>NET MET </c:v>
                  </c:pt>
                  <c:pt idx="14">
                    <c:v>NET MET </c:v>
                  </c:pt>
                  <c:pt idx="15">
                    <c:v>NET MET </c:v>
                  </c:pt>
                  <c:pt idx="16">
                    <c:v>NET MET </c:v>
                  </c:pt>
                  <c:pt idx="17">
                    <c:v>NET MET </c:v>
                  </c:pt>
                  <c:pt idx="18">
                    <c:v>NET MET </c:v>
                  </c:pt>
                  <c:pt idx="19">
                    <c:v>NET MET </c:v>
                  </c:pt>
                  <c:pt idx="20">
                    <c:v>NET MET </c:v>
                  </c:pt>
                </c:lvl>
                <c:lvl>
                  <c:pt idx="0">
                    <c:v>$3,139,386.73</c:v>
                  </c:pt>
                  <c:pt idx="1">
                    <c:v>$3,382,391.85</c:v>
                  </c:pt>
                  <c:pt idx="2">
                    <c:v>$3,654,425.48</c:v>
                  </c:pt>
                  <c:pt idx="3">
                    <c:v>$2,667,773.08</c:v>
                  </c:pt>
                  <c:pt idx="4">
                    <c:v>$3,539,097.01</c:v>
                  </c:pt>
                  <c:pt idx="5">
                    <c:v>$3,535,459.65</c:v>
                  </c:pt>
                  <c:pt idx="6">
                    <c:v>$3,611,655.71</c:v>
                  </c:pt>
                  <c:pt idx="7">
                    <c:v>$3,721,605.57</c:v>
                  </c:pt>
                  <c:pt idx="8">
                    <c:v>$3,470,852.69</c:v>
                  </c:pt>
                  <c:pt idx="9">
                    <c:v>$3,505,262.83</c:v>
                  </c:pt>
                  <c:pt idx="10">
                    <c:v>$3,423,297.38</c:v>
                  </c:pt>
                  <c:pt idx="11">
                    <c:v>$2,879,446.80</c:v>
                  </c:pt>
                  <c:pt idx="12">
                    <c:v>$3,326,870.11</c:v>
                  </c:pt>
                  <c:pt idx="13">
                    <c:v>$3,159,111.38</c:v>
                  </c:pt>
                  <c:pt idx="14">
                    <c:v>$3,360,342.25</c:v>
                  </c:pt>
                  <c:pt idx="15">
                    <c:v>$3,159,586.64</c:v>
                  </c:pt>
                  <c:pt idx="16">
                    <c:v>$3,435,152.63</c:v>
                  </c:pt>
                  <c:pt idx="17">
                    <c:v>$3,469,952.56</c:v>
                  </c:pt>
                  <c:pt idx="18">
                    <c:v>$3,528,886.77</c:v>
                  </c:pt>
                  <c:pt idx="19">
                    <c:v>$3,506,402.47</c:v>
                  </c:pt>
                  <c:pt idx="20">
                    <c:v>$3,145,778.60</c:v>
                  </c:pt>
                </c:lvl>
                <c:lvl>
                  <c:pt idx="0">
                    <c:v>$3,139,385.89</c:v>
                  </c:pt>
                  <c:pt idx="1">
                    <c:v>$3,382,391.13</c:v>
                  </c:pt>
                  <c:pt idx="2">
                    <c:v>$3,654,424.63</c:v>
                  </c:pt>
                  <c:pt idx="3">
                    <c:v>$2,728,638.96</c:v>
                  </c:pt>
                  <c:pt idx="4">
                    <c:v>$3,539,096.92</c:v>
                  </c:pt>
                  <c:pt idx="5">
                    <c:v>$3,535,459.64</c:v>
                  </c:pt>
                  <c:pt idx="6">
                    <c:v>$3,611,655.06</c:v>
                  </c:pt>
                  <c:pt idx="7">
                    <c:v>$3,721,604.85</c:v>
                  </c:pt>
                  <c:pt idx="8">
                    <c:v>$3,470,852.11</c:v>
                  </c:pt>
                  <c:pt idx="9">
                    <c:v>$3,458,352.78</c:v>
                  </c:pt>
                  <c:pt idx="10">
                    <c:v>$3,423,296.55</c:v>
                  </c:pt>
                  <c:pt idx="11">
                    <c:v>$2,879,446.43</c:v>
                  </c:pt>
                  <c:pt idx="12">
                    <c:v>$3,326,869.33</c:v>
                  </c:pt>
                  <c:pt idx="13">
                    <c:v>$3,159,111.26</c:v>
                  </c:pt>
                  <c:pt idx="14">
                    <c:v>$3,360,341.87</c:v>
                  </c:pt>
                  <c:pt idx="15">
                    <c:v>$2,855,734.72</c:v>
                  </c:pt>
                  <c:pt idx="16">
                    <c:v>$3,435,151.97</c:v>
                  </c:pt>
                  <c:pt idx="17">
                    <c:v>$3,469,951.94</c:v>
                  </c:pt>
                  <c:pt idx="18">
                    <c:v>$3,528,886.22</c:v>
                  </c:pt>
                  <c:pt idx="19">
                    <c:v>$3,506,401.69</c:v>
                  </c:pt>
                  <c:pt idx="20">
                    <c:v>$3,362,728.34</c:v>
                  </c:pt>
                </c:lvl>
                <c:lvl>
                  <c:pt idx="0">
                    <c:v>$202,541.03</c:v>
                  </c:pt>
                  <c:pt idx="1">
                    <c:v>$218,218.78</c:v>
                  </c:pt>
                  <c:pt idx="2">
                    <c:v>$235,769.33</c:v>
                  </c:pt>
                  <c:pt idx="3">
                    <c:v>$176,041.22</c:v>
                  </c:pt>
                  <c:pt idx="4">
                    <c:v>$228,328.83</c:v>
                  </c:pt>
                  <c:pt idx="5">
                    <c:v>$228,094.17</c:v>
                  </c:pt>
                  <c:pt idx="6">
                    <c:v>$233,010.00</c:v>
                  </c:pt>
                  <c:pt idx="7">
                    <c:v>$240,103.54</c:v>
                  </c:pt>
                  <c:pt idx="8">
                    <c:v>$223,925.94</c:v>
                  </c:pt>
                  <c:pt idx="9">
                    <c:v>$223,119.53</c:v>
                  </c:pt>
                  <c:pt idx="10">
                    <c:v>$220,857.84</c:v>
                  </c:pt>
                  <c:pt idx="11">
                    <c:v>$185,770.74</c:v>
                  </c:pt>
                  <c:pt idx="12">
                    <c:v>$214,636.73</c:v>
                  </c:pt>
                  <c:pt idx="13">
                    <c:v>$203,813.63</c:v>
                  </c:pt>
                  <c:pt idx="14">
                    <c:v>$216,796.25</c:v>
                  </c:pt>
                  <c:pt idx="15">
                    <c:v>$184,240.95</c:v>
                  </c:pt>
                  <c:pt idx="16">
                    <c:v>$221,622.71</c:v>
                  </c:pt>
                  <c:pt idx="17">
                    <c:v>$223,867.87</c:v>
                  </c:pt>
                  <c:pt idx="18">
                    <c:v>$227,670.08</c:v>
                  </c:pt>
                  <c:pt idx="19">
                    <c:v>$226,219.46</c:v>
                  </c:pt>
                  <c:pt idx="20">
                    <c:v>$216,950.22</c:v>
                  </c:pt>
                </c:lvl>
                <c:lvl>
                  <c:pt idx="0">
                    <c:v>$405,082.05</c:v>
                  </c:pt>
                  <c:pt idx="1">
                    <c:v>$436,437.57</c:v>
                  </c:pt>
                  <c:pt idx="2">
                    <c:v>$471,538.66</c:v>
                  </c:pt>
                  <c:pt idx="3">
                    <c:v>$352,082.45</c:v>
                  </c:pt>
                  <c:pt idx="4">
                    <c:v>$456,657.67</c:v>
                  </c:pt>
                  <c:pt idx="5">
                    <c:v>$456,188.34</c:v>
                  </c:pt>
                  <c:pt idx="6">
                    <c:v>$466,020.01</c:v>
                  </c:pt>
                  <c:pt idx="7">
                    <c:v>$480,207.08</c:v>
                  </c:pt>
                  <c:pt idx="8">
                    <c:v>$447,851.89</c:v>
                  </c:pt>
                  <c:pt idx="9">
                    <c:v>$446,239.07</c:v>
                  </c:pt>
                  <c:pt idx="10">
                    <c:v>$441,715.68</c:v>
                  </c:pt>
                  <c:pt idx="11">
                    <c:v>$371,541.47</c:v>
                  </c:pt>
                  <c:pt idx="12">
                    <c:v>$429,273.46</c:v>
                  </c:pt>
                  <c:pt idx="13">
                    <c:v>$407,627.26</c:v>
                  </c:pt>
                  <c:pt idx="14">
                    <c:v>$433,592.50</c:v>
                  </c:pt>
                  <c:pt idx="15">
                    <c:v>$368,481.90</c:v>
                  </c:pt>
                  <c:pt idx="16">
                    <c:v>$443,245.42</c:v>
                  </c:pt>
                  <c:pt idx="17">
                    <c:v>$447,735.73</c:v>
                  </c:pt>
                  <c:pt idx="18">
                    <c:v>$455,340.16</c:v>
                  </c:pt>
                  <c:pt idx="19">
                    <c:v>$452,438.93</c:v>
                  </c:pt>
                  <c:pt idx="20">
                    <c:v>$433,900.43</c:v>
                  </c:pt>
                </c:lvl>
                <c:lvl>
                  <c:pt idx="0">
                    <c:v>$2,531,762.82</c:v>
                  </c:pt>
                  <c:pt idx="1">
                    <c:v>$2,727,734.78</c:v>
                  </c:pt>
                  <c:pt idx="2">
                    <c:v>$2,947,116.63</c:v>
                  </c:pt>
                  <c:pt idx="3">
                    <c:v>$2,200,515.29</c:v>
                  </c:pt>
                  <c:pt idx="4">
                    <c:v>$2,854,110.42</c:v>
                  </c:pt>
                  <c:pt idx="5">
                    <c:v>$2,851,177.13</c:v>
                  </c:pt>
                  <c:pt idx="6">
                    <c:v>$2,912,625.05</c:v>
                  </c:pt>
                  <c:pt idx="7">
                    <c:v>$3,001,294.23</c:v>
                  </c:pt>
                  <c:pt idx="8">
                    <c:v>$2,799,074.29</c:v>
                  </c:pt>
                  <c:pt idx="9">
                    <c:v>$2,788,994.18</c:v>
                  </c:pt>
                  <c:pt idx="10">
                    <c:v>$2,760,723.02</c:v>
                  </c:pt>
                  <c:pt idx="11">
                    <c:v>$2,322,134.22</c:v>
                  </c:pt>
                  <c:pt idx="12">
                    <c:v>$2,682,959.14</c:v>
                  </c:pt>
                  <c:pt idx="13">
                    <c:v>$2,547,670.37</c:v>
                  </c:pt>
                  <c:pt idx="14">
                    <c:v>$2,709,953.12</c:v>
                  </c:pt>
                  <c:pt idx="15">
                    <c:v>$2,303,011.87</c:v>
                  </c:pt>
                  <c:pt idx="16">
                    <c:v>$2,770,283.84</c:v>
                  </c:pt>
                  <c:pt idx="17">
                    <c:v>$2,798,348.34</c:v>
                  </c:pt>
                  <c:pt idx="18">
                    <c:v>$2,845,875.98</c:v>
                  </c:pt>
                  <c:pt idx="19">
                    <c:v>$2,827,743.30</c:v>
                  </c:pt>
                  <c:pt idx="20">
                    <c:v>$2,711,877.70</c:v>
                  </c:pt>
                </c:lvl>
                <c:lvl>
                  <c:pt idx="0">
                    <c:v>$7,572.57</c:v>
                  </c:pt>
                  <c:pt idx="1">
                    <c:v>$13,570.82</c:v>
                  </c:pt>
                  <c:pt idx="2">
                    <c:v>$14,662.27</c:v>
                  </c:pt>
                  <c:pt idx="3">
                    <c:v>$0.00</c:v>
                  </c:pt>
                  <c:pt idx="4">
                    <c:v>$33,843.21</c:v>
                  </c:pt>
                  <c:pt idx="5">
                    <c:v>$33,808.42</c:v>
                  </c:pt>
                  <c:pt idx="6">
                    <c:v>$28,837.87</c:v>
                  </c:pt>
                  <c:pt idx="7">
                    <c:v>$26,770.71</c:v>
                  </c:pt>
                  <c:pt idx="8">
                    <c:v>$22,214.88</c:v>
                  </c:pt>
                  <c:pt idx="9">
                    <c:v>$16,634.16</c:v>
                  </c:pt>
                  <c:pt idx="10">
                    <c:v>$13,734.94</c:v>
                  </c:pt>
                  <c:pt idx="11">
                    <c:v>$9,251.53</c:v>
                  </c:pt>
                  <c:pt idx="12">
                    <c:v>$8,024.80</c:v>
                  </c:pt>
                  <c:pt idx="13">
                    <c:v>$12,674.98</c:v>
                  </c:pt>
                  <c:pt idx="14">
                    <c:v>$21,507.56</c:v>
                  </c:pt>
                  <c:pt idx="15">
                    <c:v>$27,308.44</c:v>
                  </c:pt>
                  <c:pt idx="16">
                    <c:v>$27,428.55</c:v>
                  </c:pt>
                  <c:pt idx="17">
                    <c:v>$24,960.49</c:v>
                  </c:pt>
                  <c:pt idx="18">
                    <c:v>$25,384.42</c:v>
                  </c:pt>
                  <c:pt idx="19">
                    <c:v>$14,068.37</c:v>
                  </c:pt>
                  <c:pt idx="20">
                    <c:v>$16,174.22</c:v>
                  </c:pt>
                </c:lvl>
                <c:lvl>
                  <c:pt idx="0">
                    <c:v>0.30%</c:v>
                  </c:pt>
                  <c:pt idx="1">
                    <c:v>0.50%</c:v>
                  </c:pt>
                  <c:pt idx="2">
                    <c:v>0.50%</c:v>
                  </c:pt>
                  <c:pt idx="3">
                    <c:v>0.00%</c:v>
                  </c:pt>
                  <c:pt idx="4">
                    <c:v>1.20%</c:v>
                  </c:pt>
                  <c:pt idx="5">
                    <c:v>1.20%</c:v>
                  </c:pt>
                  <c:pt idx="6">
                    <c:v>1.00%</c:v>
                  </c:pt>
                  <c:pt idx="7">
                    <c:v>0.90%</c:v>
                  </c:pt>
                  <c:pt idx="8">
                    <c:v>0.80%</c:v>
                  </c:pt>
                  <c:pt idx="9">
                    <c:v>0.60%</c:v>
                  </c:pt>
                  <c:pt idx="10">
                    <c:v>0.50%</c:v>
                  </c:pt>
                  <c:pt idx="11">
                    <c:v>0.40%</c:v>
                  </c:pt>
                  <c:pt idx="12">
                    <c:v>0.30%</c:v>
                  </c:pt>
                  <c:pt idx="13">
                    <c:v>0.50%</c:v>
                  </c:pt>
                  <c:pt idx="14">
                    <c:v>0.80%</c:v>
                  </c:pt>
                  <c:pt idx="15">
                    <c:v>1.20%</c:v>
                  </c:pt>
                  <c:pt idx="16">
                    <c:v>1.00%</c:v>
                  </c:pt>
                  <c:pt idx="17">
                    <c:v>0.90%</c:v>
                  </c:pt>
                  <c:pt idx="18">
                    <c:v>0.90%</c:v>
                  </c:pt>
                  <c:pt idx="19">
                    <c:v>0.50%</c:v>
                  </c:pt>
                  <c:pt idx="20">
                    <c:v>0.60%</c:v>
                  </c:pt>
                </c:lvl>
                <c:lvl>
                  <c:pt idx="0">
                    <c:v>$2,523,827.65</c:v>
                  </c:pt>
                  <c:pt idx="1">
                    <c:v>$2,713,801.36</c:v>
                  </c:pt>
                  <c:pt idx="2">
                    <c:v>$2,932,091.76</c:v>
                  </c:pt>
                  <c:pt idx="3">
                    <c:v>$2,200,152.69</c:v>
                  </c:pt>
                  <c:pt idx="4">
                    <c:v>$2,819,904.61</c:v>
                  </c:pt>
                  <c:pt idx="5">
                    <c:v>$2,817,006.11</c:v>
                  </c:pt>
                  <c:pt idx="6">
                    <c:v>$2,883,424.57</c:v>
                  </c:pt>
                  <c:pt idx="7">
                    <c:v>$2,974,160.92</c:v>
                  </c:pt>
                  <c:pt idx="8">
                    <c:v>$2,776,496.81</c:v>
                  </c:pt>
                  <c:pt idx="9">
                    <c:v>$2,771,997.42</c:v>
                  </c:pt>
                  <c:pt idx="10">
                    <c:v>$2,746,625.48</c:v>
                  </c:pt>
                  <c:pt idx="11">
                    <c:v>$2,312,520.09</c:v>
                  </c:pt>
                  <c:pt idx="12">
                    <c:v>$2,674,565.39</c:v>
                  </c:pt>
                  <c:pt idx="13">
                    <c:v>$2,534,626.44</c:v>
                  </c:pt>
                  <c:pt idx="14">
                    <c:v>$2,688,076.61</c:v>
                  </c:pt>
                  <c:pt idx="15">
                    <c:v>$2,275,334.48</c:v>
                  </c:pt>
                  <c:pt idx="16">
                    <c:v>$2,742,486.34</c:v>
                  </c:pt>
                  <c:pt idx="17">
                    <c:v>$2,773,018.90</c:v>
                  </c:pt>
                  <c:pt idx="18">
                    <c:v>$2,820,122.61</c:v>
                  </c:pt>
                  <c:pt idx="19">
                    <c:v>$2,813,305.98</c:v>
                  </c:pt>
                  <c:pt idx="20">
                    <c:v>$2,695,334.53</c:v>
                  </c:pt>
                </c:lvl>
                <c:lvl>
                  <c:pt idx="0">
                    <c:v>$727,905.75</c:v>
                  </c:pt>
                  <c:pt idx="1">
                    <c:v>$785,361.39</c:v>
                  </c:pt>
                  <c:pt idx="2">
                    <c:v>$754,425.62</c:v>
                  </c:pt>
                  <c:pt idx="3">
                    <c:v>$42,889.35</c:v>
                  </c:pt>
                  <c:pt idx="4">
                    <c:v>$795,291.09</c:v>
                  </c:pt>
                  <c:pt idx="5">
                    <c:v>$805,094.37</c:v>
                  </c:pt>
                  <c:pt idx="6">
                    <c:v>$799,718.08</c:v>
                  </c:pt>
                  <c:pt idx="7">
                    <c:v>$811,328.05</c:v>
                  </c:pt>
                  <c:pt idx="8">
                    <c:v>$787,216.02</c:v>
                  </c:pt>
                  <c:pt idx="9">
                    <c:v>$738,932.80</c:v>
                  </c:pt>
                  <c:pt idx="10">
                    <c:v>$765,607.83</c:v>
                  </c:pt>
                  <c:pt idx="11">
                    <c:v>$737,018.47</c:v>
                  </c:pt>
                  <c:pt idx="12">
                    <c:v>$738,819.38</c:v>
                  </c:pt>
                  <c:pt idx="13">
                    <c:v>$758,989.74</c:v>
                  </c:pt>
                  <c:pt idx="14">
                    <c:v>$764,803.41</c:v>
                  </c:pt>
                  <c:pt idx="15">
                    <c:v>$764,381.10</c:v>
                  </c:pt>
                  <c:pt idx="16">
                    <c:v>$772,827.30</c:v>
                  </c:pt>
                  <c:pt idx="17">
                    <c:v>$803,720.06</c:v>
                  </c:pt>
                  <c:pt idx="18">
                    <c:v>$799,530.04</c:v>
                  </c:pt>
                  <c:pt idx="19">
                    <c:v>$783,943.12</c:v>
                  </c:pt>
                  <c:pt idx="20">
                    <c:v>$781,560.95</c:v>
                  </c:pt>
                </c:lvl>
                <c:lvl>
                  <c:pt idx="0">
                    <c:v>$184,676.25</c:v>
                  </c:pt>
                  <c:pt idx="1">
                    <c:v>$198,107.25</c:v>
                  </c:pt>
                  <c:pt idx="2">
                    <c:v>$204,721.00</c:v>
                  </c:pt>
                  <c:pt idx="3">
                    <c:v>$204,721.00</c:v>
                  </c:pt>
                  <c:pt idx="4">
                    <c:v>$198,107.25</c:v>
                  </c:pt>
                  <c:pt idx="5">
                    <c:v>$200,549.25</c:v>
                  </c:pt>
                  <c:pt idx="6">
                    <c:v>$194,444.25</c:v>
                  </c:pt>
                  <c:pt idx="7">
                    <c:v>$195,868.75</c:v>
                  </c:pt>
                  <c:pt idx="8">
                    <c:v>$189,967.25</c:v>
                  </c:pt>
                  <c:pt idx="9">
                    <c:v>$188,034.00</c:v>
                  </c:pt>
                  <c:pt idx="10">
                    <c:v>$184,065.75</c:v>
                  </c:pt>
                  <c:pt idx="11">
                    <c:v>$189,255.00</c:v>
                  </c:pt>
                  <c:pt idx="12">
                    <c:v>$189,404.80</c:v>
                  </c:pt>
                  <c:pt idx="13">
                    <c:v>$183,485.90</c:v>
                  </c:pt>
                  <c:pt idx="14">
                    <c:v>$184,812.55</c:v>
                  </c:pt>
                  <c:pt idx="15">
                    <c:v>$187,434.07</c:v>
                  </c:pt>
                  <c:pt idx="16">
                    <c:v>$188,792.50</c:v>
                  </c:pt>
                  <c:pt idx="17">
                    <c:v>$189,915.05</c:v>
                  </c:pt>
                  <c:pt idx="18">
                    <c:v>$185,935.10</c:v>
                  </c:pt>
                  <c:pt idx="19">
                    <c:v>$183,894.10</c:v>
                  </c:pt>
                  <c:pt idx="20">
                    <c:v>$183,179.75</c:v>
                  </c:pt>
                </c:lvl>
                <c:lvl>
                  <c:pt idx="0">
                    <c:v>$308,847.95</c:v>
                  </c:pt>
                  <c:pt idx="1">
                    <c:v>$328,503.57</c:v>
                  </c:pt>
                  <c:pt idx="2">
                    <c:v>$355,295.29</c:v>
                  </c:pt>
                  <c:pt idx="3">
                    <c:v>$203,590.27</c:v>
                  </c:pt>
                  <c:pt idx="4">
                    <c:v>$163,278.78</c:v>
                  </c:pt>
                  <c:pt idx="5">
                    <c:v>$159,306.03</c:v>
                  </c:pt>
                  <c:pt idx="6">
                    <c:v>$178,193.47</c:v>
                  </c:pt>
                  <c:pt idx="7">
                    <c:v>$178,632.61</c:v>
                  </c:pt>
                  <c:pt idx="8">
                    <c:v>$158,063.87</c:v>
                  </c:pt>
                  <c:pt idx="9">
                    <c:v>$199,964.51</c:v>
                  </c:pt>
                  <c:pt idx="10">
                    <c:v>$342,319.61</c:v>
                  </c:pt>
                  <c:pt idx="11">
                    <c:v>$259,868.40</c:v>
                  </c:pt>
                  <c:pt idx="12">
                    <c:v>$343,169.19</c:v>
                  </c:pt>
                  <c:pt idx="13">
                    <c:v>$314,088.63</c:v>
                  </c:pt>
                  <c:pt idx="14">
                    <c:v>$333,514.16</c:v>
                  </c:pt>
                  <c:pt idx="15">
                    <c:v>$129,076.53</c:v>
                  </c:pt>
                  <c:pt idx="16">
                    <c:v>$163,609.04</c:v>
                  </c:pt>
                  <c:pt idx="17">
                    <c:v>$161,531.31</c:v>
                  </c:pt>
                  <c:pt idx="18">
                    <c:v>$174,133.65</c:v>
                  </c:pt>
                  <c:pt idx="19">
                    <c:v>$162,733.00</c:v>
                  </c:pt>
                  <c:pt idx="20">
                    <c:v>$157,959.86</c:v>
                  </c:pt>
                </c:lvl>
                <c:lvl>
                  <c:pt idx="0">
                    <c:v>$1,008,360.25</c:v>
                  </c:pt>
                  <c:pt idx="1">
                    <c:v>$1,074,400.31</c:v>
                  </c:pt>
                  <c:pt idx="2">
                    <c:v>$1,248,783.11</c:v>
                  </c:pt>
                  <c:pt idx="3">
                    <c:v>$1,381,986.70</c:v>
                  </c:pt>
                  <c:pt idx="4">
                    <c:v>$1,294,737.76</c:v>
                  </c:pt>
                  <c:pt idx="5">
                    <c:v>$1,286,822.97</c:v>
                  </c:pt>
                  <c:pt idx="6">
                    <c:v>$1,363,811.29</c:v>
                  </c:pt>
                  <c:pt idx="7">
                    <c:v>$1,416,522.48</c:v>
                  </c:pt>
                  <c:pt idx="8">
                    <c:v>$1,271,155.20</c:v>
                  </c:pt>
                  <c:pt idx="9">
                    <c:v>$1,285,313.15</c:v>
                  </c:pt>
                  <c:pt idx="10">
                    <c:v>$1,098,790.79</c:v>
                  </c:pt>
                  <c:pt idx="11">
                    <c:v>$831,661.35</c:v>
                  </c:pt>
                  <c:pt idx="12">
                    <c:v>$1,078,026.43</c:v>
                  </c:pt>
                  <c:pt idx="13">
                    <c:v>$962,691.85</c:v>
                  </c:pt>
                  <c:pt idx="14">
                    <c:v>$1,050,830.64</c:v>
                  </c:pt>
                  <c:pt idx="15">
                    <c:v>$937,383.42</c:v>
                  </c:pt>
                  <c:pt idx="16">
                    <c:v>$1,265,279.21</c:v>
                  </c:pt>
                  <c:pt idx="17">
                    <c:v>$1,264,248.36</c:v>
                  </c:pt>
                  <c:pt idx="18">
                    <c:v>$1,322,411.97</c:v>
                  </c:pt>
                  <c:pt idx="19">
                    <c:v>$1,321,038.15</c:v>
                  </c:pt>
                  <c:pt idx="20">
                    <c:v>$1,246,004.72</c:v>
                  </c:pt>
                </c:lvl>
                <c:lvl>
                  <c:pt idx="0">
                    <c:v>$294,037.45</c:v>
                  </c:pt>
                  <c:pt idx="1">
                    <c:v>$327,428.85</c:v>
                  </c:pt>
                  <c:pt idx="2">
                    <c:v>$368,866.75</c:v>
                  </c:pt>
                  <c:pt idx="3">
                    <c:v>$366,965.38</c:v>
                  </c:pt>
                  <c:pt idx="4">
                    <c:v>$368,489.73</c:v>
                  </c:pt>
                  <c:pt idx="5">
                    <c:v>$365,233.49</c:v>
                  </c:pt>
                  <c:pt idx="6">
                    <c:v>$347,257.49</c:v>
                  </c:pt>
                  <c:pt idx="7">
                    <c:v>$371,809.04</c:v>
                  </c:pt>
                  <c:pt idx="8">
                    <c:v>$370,094.47</c:v>
                  </c:pt>
                  <c:pt idx="9">
                    <c:v>$359,752.96</c:v>
                  </c:pt>
                  <c:pt idx="10">
                    <c:v>$355,841.51</c:v>
                  </c:pt>
                  <c:pt idx="11">
                    <c:v>$294,716.87</c:v>
                  </c:pt>
                  <c:pt idx="12">
                    <c:v>$325,145.59</c:v>
                  </c:pt>
                  <c:pt idx="13">
                    <c:v>$315,370.33</c:v>
                  </c:pt>
                  <c:pt idx="14">
                    <c:v>$354,115.85</c:v>
                  </c:pt>
                  <c:pt idx="15">
                    <c:v>$257,059.36</c:v>
                  </c:pt>
                  <c:pt idx="16">
                    <c:v>$351,978.29</c:v>
                  </c:pt>
                  <c:pt idx="17">
                    <c:v>$353,604.12</c:v>
                  </c:pt>
                  <c:pt idx="18">
                    <c:v>$338,111.85</c:v>
                  </c:pt>
                  <c:pt idx="19">
                    <c:v>$361,697.60</c:v>
                  </c:pt>
                  <c:pt idx="20">
                    <c:v>$326,629.24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1836.688596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$401.05</c:v>
                  </c:pt>
                  <c:pt idx="1">
                    <c:v>$403.37</c:v>
                  </c:pt>
                  <c:pt idx="2">
                    <c:v>$408.46</c:v>
                  </c:pt>
                  <c:pt idx="3">
                    <c:v>$408.47</c:v>
                  </c:pt>
                  <c:pt idx="4">
                    <c:v>$408.47</c:v>
                  </c:pt>
                  <c:pt idx="5">
                    <c:v>$408.47</c:v>
                  </c:pt>
                  <c:pt idx="6">
                    <c:v>$420.02</c:v>
                  </c:pt>
                  <c:pt idx="7">
                    <c:v>$423.67</c:v>
                  </c:pt>
                  <c:pt idx="8">
                    <c:v>$423.69</c:v>
                  </c:pt>
                  <c:pt idx="9">
                    <c:v>$423.70</c:v>
                  </c:pt>
                  <c:pt idx="10">
                    <c:v>$423.69</c:v>
                  </c:pt>
                  <c:pt idx="11">
                    <c:v>$416.63</c:v>
                  </c:pt>
                  <c:pt idx="12">
                    <c:v>$421.46</c:v>
                  </c:pt>
                  <c:pt idx="13">
                    <c:v>$422.13</c:v>
                  </c:pt>
                  <c:pt idx="14">
                    <c:v>$422.31</c:v>
                  </c:pt>
                  <c:pt idx="15">
                    <c:v>$422.31</c:v>
                  </c:pt>
                  <c:pt idx="16">
                    <c:v>$422.31</c:v>
                  </c:pt>
                  <c:pt idx="17">
                    <c:v>$432.34</c:v>
                  </c:pt>
                  <c:pt idx="18">
                    <c:v>$438.82</c:v>
                  </c:pt>
                  <c:pt idx="19">
                    <c:v>$439.43</c:v>
                  </c:pt>
                  <c:pt idx="20">
                    <c:v>$435.41</c:v>
                  </c:pt>
                </c:lvl>
                <c:lvl>
                  <c:pt idx="0">
                    <c:v>$101.75</c:v>
                  </c:pt>
                  <c:pt idx="1">
                    <c:v>$101.75</c:v>
                  </c:pt>
                  <c:pt idx="2">
                    <c:v>$101.75</c:v>
                  </c:pt>
                  <c:pt idx="3">
                    <c:v>$101.75</c:v>
                  </c:pt>
                  <c:pt idx="4">
                    <c:v>$101.75</c:v>
                  </c:pt>
                  <c:pt idx="5">
                    <c:v>$101.75</c:v>
                  </c:pt>
                  <c:pt idx="6">
                    <c:v>$101.75</c:v>
                  </c:pt>
                  <c:pt idx="7">
                    <c:v>$101.75</c:v>
                  </c:pt>
                  <c:pt idx="8">
                    <c:v>$101.75</c:v>
                  </c:pt>
                  <c:pt idx="9">
                    <c:v>$101.75</c:v>
                  </c:pt>
                  <c:pt idx="10">
                    <c:v>$101.75</c:v>
                  </c:pt>
                  <c:pt idx="11">
                    <c:v>$101.75</c:v>
                  </c:pt>
                  <c:pt idx="12">
                    <c:v>$102.05</c:v>
                  </c:pt>
                  <c:pt idx="13">
                    <c:v>$102.05</c:v>
                  </c:pt>
                  <c:pt idx="14">
                    <c:v>$102.05</c:v>
                  </c:pt>
                  <c:pt idx="15">
                    <c:v>$102.05</c:v>
                  </c:pt>
                  <c:pt idx="16">
                    <c:v>$102.05</c:v>
                  </c:pt>
                  <c:pt idx="17">
                    <c:v>$102.05</c:v>
                  </c:pt>
                  <c:pt idx="18">
                    <c:v>$102.05</c:v>
                  </c:pt>
                  <c:pt idx="19">
                    <c:v>$102.05</c:v>
                  </c:pt>
                  <c:pt idx="20">
                    <c:v>$102.05</c:v>
                  </c:pt>
                </c:lvl>
                <c:lvl>
                  <c:pt idx="0">
                    <c:v>$2.18</c:v>
                  </c:pt>
                  <c:pt idx="1">
                    <c:v>$2.19</c:v>
                  </c:pt>
                  <c:pt idx="2">
                    <c:v>$2.21</c:v>
                  </c:pt>
                  <c:pt idx="3">
                    <c:v>$2.21</c:v>
                  </c:pt>
                  <c:pt idx="4">
                    <c:v>$2.21</c:v>
                  </c:pt>
                  <c:pt idx="5">
                    <c:v>$2.21</c:v>
                  </c:pt>
                  <c:pt idx="6">
                    <c:v>$2.27</c:v>
                  </c:pt>
                  <c:pt idx="7">
                    <c:v>$2.29</c:v>
                  </c:pt>
                  <c:pt idx="8">
                    <c:v>$2.29</c:v>
                  </c:pt>
                  <c:pt idx="9">
                    <c:v>$2.29</c:v>
                  </c:pt>
                  <c:pt idx="10">
                    <c:v>$2.29</c:v>
                  </c:pt>
                  <c:pt idx="11">
                    <c:v>$2.25</c:v>
                  </c:pt>
                  <c:pt idx="12">
                    <c:v>$2.28</c:v>
                  </c:pt>
                  <c:pt idx="13">
                    <c:v>$2.28</c:v>
                  </c:pt>
                  <c:pt idx="14">
                    <c:v>$2.28</c:v>
                  </c:pt>
                  <c:pt idx="15">
                    <c:v>$2.28</c:v>
                  </c:pt>
                  <c:pt idx="16">
                    <c:v>$2.28</c:v>
                  </c:pt>
                  <c:pt idx="17">
                    <c:v>$2.33</c:v>
                  </c:pt>
                  <c:pt idx="18">
                    <c:v>$2.37</c:v>
                  </c:pt>
                  <c:pt idx="19">
                    <c:v>$2.37</c:v>
                  </c:pt>
                  <c:pt idx="20">
                    <c:v>$2.35</c:v>
                  </c:pt>
                </c:lvl>
                <c:lvl>
                  <c:pt idx="0">
                    <c:v>$1.91</c:v>
                  </c:pt>
                  <c:pt idx="1">
                    <c:v>$1.92</c:v>
                  </c:pt>
                  <c:pt idx="2">
                    <c:v>$1.94</c:v>
                  </c:pt>
                  <c:pt idx="3">
                    <c:v>$1.94</c:v>
                  </c:pt>
                  <c:pt idx="4">
                    <c:v>$1.94</c:v>
                  </c:pt>
                  <c:pt idx="5">
                    <c:v>$1.94</c:v>
                  </c:pt>
                  <c:pt idx="6">
                    <c:v>$1.99</c:v>
                  </c:pt>
                  <c:pt idx="7">
                    <c:v>$2.01</c:v>
                  </c:pt>
                  <c:pt idx="8">
                    <c:v>$2.01</c:v>
                  </c:pt>
                  <c:pt idx="9">
                    <c:v>$2.01</c:v>
                  </c:pt>
                  <c:pt idx="10">
                    <c:v>$2.01</c:v>
                  </c:pt>
                  <c:pt idx="11">
                    <c:v>$1.97</c:v>
                  </c:pt>
                  <c:pt idx="12">
                    <c:v>$2.00</c:v>
                  </c:pt>
                  <c:pt idx="13">
                    <c:v>$2.00</c:v>
                  </c:pt>
                  <c:pt idx="14">
                    <c:v>$2.00</c:v>
                  </c:pt>
                  <c:pt idx="15">
                    <c:v>$2.00</c:v>
                  </c:pt>
                  <c:pt idx="16">
                    <c:v>$2.00</c:v>
                  </c:pt>
                  <c:pt idx="17">
                    <c:v>$2.05</c:v>
                  </c:pt>
                  <c:pt idx="18">
                    <c:v>$2.07</c:v>
                  </c:pt>
                  <c:pt idx="19">
                    <c:v>$2.08</c:v>
                  </c:pt>
                  <c:pt idx="20">
                    <c:v>$2.06</c:v>
                  </c:pt>
                </c:lvl>
                <c:lvl>
                  <c:pt idx="0">
                    <c:v>$1.07</c:v>
                  </c:pt>
                  <c:pt idx="1">
                    <c:v>$1.08</c:v>
                  </c:pt>
                  <c:pt idx="2">
                    <c:v>$1.09</c:v>
                  </c:pt>
                  <c:pt idx="3">
                    <c:v>$1.09</c:v>
                  </c:pt>
                  <c:pt idx="4">
                    <c:v>$1.09</c:v>
                  </c:pt>
                  <c:pt idx="5">
                    <c:v>$1.09</c:v>
                  </c:pt>
                  <c:pt idx="6">
                    <c:v>$1.11</c:v>
                  </c:pt>
                  <c:pt idx="7">
                    <c:v>$1.12</c:v>
                  </c:pt>
                  <c:pt idx="8">
                    <c:v>$1.12</c:v>
                  </c:pt>
                  <c:pt idx="9">
                    <c:v>$1.12</c:v>
                  </c:pt>
                  <c:pt idx="10">
                    <c:v>$1.12</c:v>
                  </c:pt>
                  <c:pt idx="11">
                    <c:v>$1.10</c:v>
                  </c:pt>
                  <c:pt idx="12">
                    <c:v>$1.12</c:v>
                  </c:pt>
                  <c:pt idx="13">
                    <c:v>$1.12</c:v>
                  </c:pt>
                  <c:pt idx="14">
                    <c:v>$1.12</c:v>
                  </c:pt>
                  <c:pt idx="15">
                    <c:v>$1.12</c:v>
                  </c:pt>
                  <c:pt idx="16">
                    <c:v>$1.12</c:v>
                  </c:pt>
                  <c:pt idx="17">
                    <c:v>$1.14</c:v>
                  </c:pt>
                  <c:pt idx="18">
                    <c:v>$1.16</c:v>
                  </c:pt>
                  <c:pt idx="19">
                    <c:v>$1.16</c:v>
                  </c:pt>
                  <c:pt idx="20">
                    <c:v>$1.15</c:v>
                  </c:pt>
                </c:lvl>
                <c:lvl>
                  <c:pt idx="0">
                    <c:v>$362.60</c:v>
                  </c:pt>
                  <c:pt idx="1">
                    <c:v>$362.60</c:v>
                  </c:pt>
                  <c:pt idx="2">
                    <c:v>$362.60</c:v>
                  </c:pt>
                  <c:pt idx="3">
                    <c:v>$362.60</c:v>
                  </c:pt>
                  <c:pt idx="4">
                    <c:v>$362.60</c:v>
                  </c:pt>
                  <c:pt idx="5">
                    <c:v>$362.60</c:v>
                  </c:pt>
                  <c:pt idx="6">
                    <c:v>$362.60</c:v>
                  </c:pt>
                  <c:pt idx="7">
                    <c:v>$362.60</c:v>
                  </c:pt>
                  <c:pt idx="8">
                    <c:v>$362.60</c:v>
                  </c:pt>
                  <c:pt idx="9">
                    <c:v>$362.60</c:v>
                  </c:pt>
                  <c:pt idx="10">
                    <c:v>$362.60</c:v>
                  </c:pt>
                  <c:pt idx="11">
                    <c:v>$362.60</c:v>
                  </c:pt>
                  <c:pt idx="12">
                    <c:v>$368.95</c:v>
                  </c:pt>
                  <c:pt idx="13">
                    <c:v>$368.95</c:v>
                  </c:pt>
                  <c:pt idx="14">
                    <c:v>$368.95</c:v>
                  </c:pt>
                  <c:pt idx="15">
                    <c:v>$368.95</c:v>
                  </c:pt>
                  <c:pt idx="16">
                    <c:v>$368.95</c:v>
                  </c:pt>
                  <c:pt idx="17">
                    <c:v>$368.95</c:v>
                  </c:pt>
                  <c:pt idx="18">
                    <c:v>$368.95</c:v>
                  </c:pt>
                  <c:pt idx="19">
                    <c:v>$368.95</c:v>
                  </c:pt>
                  <c:pt idx="20">
                    <c:v>$368.95</c:v>
                  </c:pt>
                </c:lvl>
                <c:lvl>
                  <c:pt idx="0">
                    <c:v>94.56</c:v>
                  </c:pt>
                  <c:pt idx="1">
                    <c:v>94.19</c:v>
                  </c:pt>
                  <c:pt idx="2">
                    <c:v>94.28</c:v>
                  </c:pt>
                  <c:pt idx="3">
                    <c:v>94.93</c:v>
                  </c:pt>
                  <c:pt idx="4">
                    <c:v>93.13</c:v>
                  </c:pt>
                  <c:pt idx="5">
                    <c:v>93.14</c:v>
                  </c:pt>
                  <c:pt idx="6">
                    <c:v>93.39</c:v>
                  </c:pt>
                  <c:pt idx="7">
                    <c:v>93.66</c:v>
                  </c:pt>
                  <c:pt idx="8">
                    <c:v>93.76</c:v>
                  </c:pt>
                  <c:pt idx="9">
                    <c:v>94.1</c:v>
                  </c:pt>
                  <c:pt idx="10">
                    <c:v>94.17</c:v>
                  </c:pt>
                  <c:pt idx="11">
                    <c:v>94.32</c:v>
                  </c:pt>
                  <c:pt idx="12">
                    <c:v>94.57</c:v>
                  </c:pt>
                  <c:pt idx="13">
                    <c:v>94.2</c:v>
                  </c:pt>
                  <c:pt idx="14">
                    <c:v>93.81</c:v>
                  </c:pt>
                  <c:pt idx="15">
                    <c:v>93.14</c:v>
                  </c:pt>
                  <c:pt idx="16">
                    <c:v>93.4</c:v>
                  </c:pt>
                  <c:pt idx="17">
                    <c:v>93.59</c:v>
                  </c:pt>
                  <c:pt idx="18">
                    <c:v>93.67</c:v>
                  </c:pt>
                  <c:pt idx="19">
                    <c:v>94.27</c:v>
                  </c:pt>
                  <c:pt idx="20">
                    <c:v>94.01</c:v>
                  </c:pt>
                </c:lvl>
                <c:lvl>
                  <c:pt idx="0">
                    <c:v>325156</c:v>
                  </c:pt>
                  <c:pt idx="1">
                    <c:v>361949</c:v>
                  </c:pt>
                  <c:pt idx="2">
                    <c:v>404533</c:v>
                  </c:pt>
                  <c:pt idx="3">
                    <c:v>378731</c:v>
                  </c:pt>
                  <c:pt idx="4">
                    <c:v>422677</c:v>
                  </c:pt>
                  <c:pt idx="5">
                    <c:v>418685</c:v>
                  </c:pt>
                  <c:pt idx="6">
                    <c:v>412155</c:v>
                  </c:pt>
                  <c:pt idx="7">
                    <c:v>417877</c:v>
                  </c:pt>
                  <c:pt idx="8">
                    <c:v>383440</c:v>
                  </c:pt>
                  <c:pt idx="9">
                    <c:v>383597</c:v>
                  </c:pt>
                  <c:pt idx="10">
                    <c:v>362838</c:v>
                  </c:pt>
                  <c:pt idx="11">
                    <c:v>282886</c:v>
                  </c:pt>
                  <c:pt idx="12">
                    <c:v>336846</c:v>
                  </c:pt>
                  <c:pt idx="13">
                    <c:v>320568</c:v>
                  </c:pt>
                  <c:pt idx="14">
                    <c:v>364109</c:v>
                  </c:pt>
                  <c:pt idx="15">
                    <c:v>378000</c:v>
                  </c:pt>
                  <c:pt idx="16">
                    <c:v>389248</c:v>
                  </c:pt>
                  <c:pt idx="17">
                    <c:v>375229</c:v>
                  </c:pt>
                  <c:pt idx="18">
                    <c:v>374983</c:v>
                  </c:pt>
                  <c:pt idx="19">
                    <c:v>360110</c:v>
                  </c:pt>
                  <c:pt idx="20">
                    <c:v>345944</c:v>
                  </c:pt>
                </c:lvl>
                <c:lvl>
                  <c:pt idx="0">
                    <c:v>2228.82</c:v>
                  </c:pt>
                  <c:pt idx="1">
                    <c:v>2558.21</c:v>
                  </c:pt>
                  <c:pt idx="2">
                    <c:v>2697.36</c:v>
                  </c:pt>
                  <c:pt idx="3">
                    <c:v>2783.11</c:v>
                  </c:pt>
                  <c:pt idx="4">
                    <c:v>2547.62</c:v>
                  </c:pt>
                  <c:pt idx="5">
                    <c:v>2610.92</c:v>
                  </c:pt>
                  <c:pt idx="6">
                    <c:v>2538.14</c:v>
                  </c:pt>
                  <c:pt idx="7">
                    <c:v>2632.99</c:v>
                  </c:pt>
                  <c:pt idx="8">
                    <c:v>2518.37</c:v>
                  </c:pt>
                  <c:pt idx="9">
                    <c:v>2475.05</c:v>
                  </c:pt>
                  <c:pt idx="10">
                    <c:v>2474.18</c:v>
                  </c:pt>
                  <c:pt idx="11">
                    <c:v>1894.38</c:v>
                  </c:pt>
                  <c:pt idx="12">
                    <c:v>2311.38</c:v>
                  </c:pt>
                  <c:pt idx="13">
                    <c:v>2349.01</c:v>
                  </c:pt>
                  <c:pt idx="14">
                    <c:v>2326.18</c:v>
                  </c:pt>
                  <c:pt idx="15">
                    <c:v>1836.69</c:v>
                  </c:pt>
                  <c:pt idx="16">
                    <c:v>2398.75</c:v>
                  </c:pt>
                  <c:pt idx="17">
                    <c:v>2428.06</c:v>
                  </c:pt>
                  <c:pt idx="18">
                    <c:v>2366.10</c:v>
                  </c:pt>
                  <c:pt idx="19">
                    <c:v>2398.32</c:v>
                  </c:pt>
                  <c:pt idx="20">
                    <c:v>2324.72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2199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1798</c:v>
                  </c:pt>
                  <c:pt idx="1">
                    <c:v>1904</c:v>
                  </c:pt>
                  <c:pt idx="2">
                    <c:v>2012</c:v>
                  </c:pt>
                  <c:pt idx="3">
                    <c:v>1995</c:v>
                  </c:pt>
                  <c:pt idx="4">
                    <c:v>1928</c:v>
                  </c:pt>
                  <c:pt idx="5">
                    <c:v>1968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1713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1781</c:v>
                  </c:pt>
                  <c:pt idx="14">
                    <c:v>1805</c:v>
                  </c:pt>
                  <c:pt idx="15">
                    <c:v>1539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1777</c:v>
                  </c:pt>
                  <c:pt idx="19">
                    <c:v>1802</c:v>
                  </c:pt>
                  <c:pt idx="20">
                    <c:v>1760</c:v>
                  </c:pt>
                </c:lvl>
                <c:lvl>
                  <c:pt idx="0">
                    <c:v>1732</c:v>
                  </c:pt>
                  <c:pt idx="1">
                    <c:v>1749</c:v>
                  </c:pt>
                  <c:pt idx="2">
                    <c:v>1860</c:v>
                  </c:pt>
                  <c:pt idx="3">
                    <c:v>1698</c:v>
                  </c:pt>
                  <c:pt idx="4">
                    <c:v>1725</c:v>
                  </c:pt>
                  <c:pt idx="5">
                    <c:v>1720</c:v>
                  </c:pt>
                  <c:pt idx="6">
                    <c:v>1693</c:v>
                  </c:pt>
                  <c:pt idx="7">
                    <c:v>1743</c:v>
                  </c:pt>
                  <c:pt idx="8">
                    <c:v>1625</c:v>
                  </c:pt>
                  <c:pt idx="9">
                    <c:v>1538</c:v>
                  </c:pt>
                  <c:pt idx="10">
                    <c:v>1778</c:v>
                  </c:pt>
                  <c:pt idx="11">
                    <c:v>1705</c:v>
                  </c:pt>
                  <c:pt idx="12">
                    <c:v>1774</c:v>
                  </c:pt>
                  <c:pt idx="13">
                    <c:v>1695</c:v>
                  </c:pt>
                  <c:pt idx="14">
                    <c:v>1692</c:v>
                  </c:pt>
                  <c:pt idx="15">
                    <c:v>1759</c:v>
                  </c:pt>
                  <c:pt idx="16">
                    <c:v>1629</c:v>
                  </c:pt>
                  <c:pt idx="17">
                    <c:v>1593</c:v>
                  </c:pt>
                  <c:pt idx="18">
                    <c:v>1532</c:v>
                  </c:pt>
                  <c:pt idx="19">
                    <c:v>1524</c:v>
                  </c:pt>
                  <c:pt idx="20">
                    <c:v>1498</c:v>
                  </c:pt>
                </c:lvl>
                <c:lvl>
                  <c:pt idx="0">
                    <c:v>945199</c:v>
                  </c:pt>
                  <c:pt idx="1">
                    <c:v>1014895</c:v>
                  </c:pt>
                  <c:pt idx="2">
                    <c:v>1143898</c:v>
                  </c:pt>
                  <c:pt idx="3">
                    <c:v>1142190</c:v>
                  </c:pt>
                  <c:pt idx="4">
                    <c:v>1080393</c:v>
                  </c:pt>
                  <c:pt idx="5">
                    <c:v>1071520</c:v>
                  </c:pt>
                  <c:pt idx="6">
                    <c:v>1076376</c:v>
                  </c:pt>
                  <c:pt idx="7">
                    <c:v>1116598</c:v>
                  </c:pt>
                  <c:pt idx="8">
                    <c:v>1033537</c:v>
                  </c:pt>
                  <c:pt idx="9">
                    <c:v>1049618</c:v>
                  </c:pt>
                  <c:pt idx="10">
                    <c:v>1015403</c:v>
                  </c:pt>
                  <c:pt idx="11">
                    <c:v>803368</c:v>
                  </c:pt>
                  <c:pt idx="12">
                    <c:v>980209</c:v>
                  </c:pt>
                  <c:pt idx="13">
                    <c:v>899765</c:v>
                  </c:pt>
                  <c:pt idx="14">
                    <c:v>986487</c:v>
                  </c:pt>
                  <c:pt idx="15">
                    <c:v>753777</c:v>
                  </c:pt>
                  <c:pt idx="16">
                    <c:v>1017260</c:v>
                  </c:pt>
                  <c:pt idx="17">
                    <c:v>996476</c:v>
                  </c:pt>
                  <c:pt idx="18">
                    <c:v>1003415</c:v>
                  </c:pt>
                  <c:pt idx="19">
                    <c:v>1017081</c:v>
                  </c:pt>
                  <c:pt idx="20">
                    <c:v>954067</c:v>
                  </c:pt>
                </c:lvl>
                <c:lvl>
                  <c:pt idx="0">
                    <c:v>141986</c:v>
                  </c:pt>
                  <c:pt idx="1">
                    <c:v>150228</c:v>
                  </c:pt>
                  <c:pt idx="2">
                    <c:v>160629</c:v>
                  </c:pt>
                  <c:pt idx="3">
                    <c:v>92039</c:v>
                  </c:pt>
                  <c:pt idx="4">
                    <c:v>73815</c:v>
                  </c:pt>
                  <c:pt idx="5">
                    <c:v>72019</c:v>
                  </c:pt>
                  <c:pt idx="6">
                    <c:v>78527</c:v>
                  </c:pt>
                  <c:pt idx="7">
                    <c:v>78101</c:v>
                  </c:pt>
                  <c:pt idx="8">
                    <c:v>69105</c:v>
                  </c:pt>
                  <c:pt idx="9">
                    <c:v>87420</c:v>
                  </c:pt>
                  <c:pt idx="10">
                    <c:v>149661</c:v>
                  </c:pt>
                  <c:pt idx="11">
                    <c:v>115374</c:v>
                  </c:pt>
                  <c:pt idx="12">
                    <c:v>150493</c:v>
                  </c:pt>
                  <c:pt idx="13">
                    <c:v>137541</c:v>
                  </c:pt>
                  <c:pt idx="14">
                    <c:v>145990</c:v>
                  </c:pt>
                  <c:pt idx="15">
                    <c:v>56501</c:v>
                  </c:pt>
                  <c:pt idx="16">
                    <c:v>71617</c:v>
                  </c:pt>
                  <c:pt idx="17">
                    <c:v>69202</c:v>
                  </c:pt>
                  <c:pt idx="18">
                    <c:v>73589</c:v>
                  </c:pt>
                  <c:pt idx="19">
                    <c:v>68684</c:v>
                  </c:pt>
                  <c:pt idx="20">
                    <c:v>67117</c:v>
                  </c:pt>
                </c:lvl>
                <c:lvl>
                  <c:pt idx="0">
                    <c:v>528463</c:v>
                  </c:pt>
                  <c:pt idx="1">
                    <c:v>560167</c:v>
                  </c:pt>
                  <c:pt idx="2">
                    <c:v>643769</c:v>
                  </c:pt>
                  <c:pt idx="3">
                    <c:v>712401</c:v>
                  </c:pt>
                  <c:pt idx="4">
                    <c:v>667425</c:v>
                  </c:pt>
                  <c:pt idx="5">
                    <c:v>663345</c:v>
                  </c:pt>
                  <c:pt idx="6">
                    <c:v>685539</c:v>
                  </c:pt>
                  <c:pt idx="7">
                    <c:v>706495</c:v>
                  </c:pt>
                  <c:pt idx="8">
                    <c:v>633961</c:v>
                  </c:pt>
                  <c:pt idx="9">
                    <c:v>640990</c:v>
                  </c:pt>
                  <c:pt idx="10">
                    <c:v>547998</c:v>
                  </c:pt>
                  <c:pt idx="11">
                    <c:v>421137</c:v>
                  </c:pt>
                  <c:pt idx="12">
                    <c:v>539148</c:v>
                  </c:pt>
                  <c:pt idx="13">
                    <c:v>480769</c:v>
                  </c:pt>
                  <c:pt idx="14">
                    <c:v>524576</c:v>
                  </c:pt>
                  <c:pt idx="15">
                    <c:v>467943</c:v>
                  </c:pt>
                  <c:pt idx="16">
                    <c:v>631629</c:v>
                  </c:pt>
                  <c:pt idx="17">
                    <c:v>617882</c:v>
                  </c:pt>
                  <c:pt idx="18">
                    <c:v>637645</c:v>
                  </c:pt>
                  <c:pt idx="19">
                    <c:v>636185</c:v>
                  </c:pt>
                  <c:pt idx="20">
                    <c:v>603860</c:v>
                  </c:pt>
                </c:lvl>
                <c:lvl>
                  <c:pt idx="0">
                    <c:v>274750</c:v>
                  </c:pt>
                  <c:pt idx="1">
                    <c:v>304500</c:v>
                  </c:pt>
                  <c:pt idx="2">
                    <c:v>339500</c:v>
                  </c:pt>
                  <c:pt idx="3">
                    <c:v>337750</c:v>
                  </c:pt>
                  <c:pt idx="4">
                    <c:v>339153</c:v>
                  </c:pt>
                  <c:pt idx="5">
                    <c:v>336156</c:v>
                  </c:pt>
                  <c:pt idx="6">
                    <c:v>312310</c:v>
                  </c:pt>
                  <c:pt idx="7">
                    <c:v>332002</c:v>
                  </c:pt>
                  <c:pt idx="8">
                    <c:v>330471</c:v>
                  </c:pt>
                  <c:pt idx="9">
                    <c:v>321208</c:v>
                  </c:pt>
                  <c:pt idx="10">
                    <c:v>317744</c:v>
                  </c:pt>
                  <c:pt idx="11">
                    <c:v>266857</c:v>
                  </c:pt>
                  <c:pt idx="12">
                    <c:v>290568</c:v>
                  </c:pt>
                  <c:pt idx="13">
                    <c:v>281455</c:v>
                  </c:pt>
                  <c:pt idx="14">
                    <c:v>315921</c:v>
                  </c:pt>
                  <c:pt idx="15">
                    <c:v>229333</c:v>
                  </c:pt>
                  <c:pt idx="16">
                    <c:v>314014</c:v>
                  </c:pt>
                  <c:pt idx="17">
                    <c:v>309392</c:v>
                  </c:pt>
                  <c:pt idx="18">
                    <c:v>292181</c:v>
                  </c:pt>
                  <c:pt idx="19">
                    <c:v>312212</c:v>
                  </c:pt>
                  <c:pt idx="20">
                    <c:v>283090</c:v>
                  </c:pt>
                </c:lvl>
                <c:lvl>
                  <c:pt idx="0">
                    <c:v>31</c:v>
                  </c:pt>
                  <c:pt idx="1">
                    <c:v>29</c:v>
                  </c:pt>
                  <c:pt idx="2">
                    <c:v>31</c:v>
                  </c:pt>
                  <c:pt idx="3">
                    <c:v>30</c:v>
                  </c:pt>
                  <c:pt idx="4">
                    <c:v>31</c:v>
                  </c:pt>
                  <c:pt idx="5">
                    <c:v>30</c:v>
                  </c:pt>
                  <c:pt idx="6">
                    <c:v>31</c:v>
                  </c:pt>
                  <c:pt idx="7">
                    <c:v>31</c:v>
                  </c:pt>
                  <c:pt idx="8">
                    <c:v>30</c:v>
                  </c:pt>
                  <c:pt idx="9">
                    <c:v>31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31</c:v>
                  </c:pt>
                  <c:pt idx="13">
                    <c:v>28</c:v>
                  </c:pt>
                  <c:pt idx="14">
                    <c:v>31</c:v>
                  </c:pt>
                  <c:pt idx="15">
                    <c:v>30</c:v>
                  </c:pt>
                  <c:pt idx="16">
                    <c:v>31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31</c:v>
                  </c:pt>
                  <c:pt idx="20">
                    <c:v>30</c:v>
                  </c:pt>
                </c:lvl>
                <c:lvl>
                  <c:pt idx="0">
                    <c:v>31/01/2024</c:v>
                  </c:pt>
                  <c:pt idx="1">
                    <c:v>29/02/2024</c:v>
                  </c:pt>
                  <c:pt idx="2">
                    <c:v>31/03/2024</c:v>
                  </c:pt>
                  <c:pt idx="3">
                    <c:v>30/04/2024</c:v>
                  </c:pt>
                  <c:pt idx="4">
                    <c:v>31/05/2024</c:v>
                  </c:pt>
                  <c:pt idx="5">
                    <c:v>30/06/2024</c:v>
                  </c:pt>
                  <c:pt idx="6">
                    <c:v>31/07/2024</c:v>
                  </c:pt>
                  <c:pt idx="7">
                    <c:v>31/08/2024</c:v>
                  </c:pt>
                  <c:pt idx="8">
                    <c:v>30/09/2024</c:v>
                  </c:pt>
                  <c:pt idx="9">
                    <c:v>31/10/2024</c:v>
                  </c:pt>
                  <c:pt idx="10">
                    <c:v>30/11/2024</c:v>
                  </c:pt>
                  <c:pt idx="11">
                    <c:v>31/12/2024</c:v>
                  </c:pt>
                  <c:pt idx="12">
                    <c:v>31/01/2025</c:v>
                  </c:pt>
                  <c:pt idx="13">
                    <c:v>28/02/2025</c:v>
                  </c:pt>
                  <c:pt idx="14">
                    <c:v>31/03/2025</c:v>
                  </c:pt>
                  <c:pt idx="15">
                    <c:v>30/04/2025</c:v>
                  </c:pt>
                  <c:pt idx="16">
                    <c:v>31/05/2025</c:v>
                  </c:pt>
                  <c:pt idx="17">
                    <c:v>30/06/2025</c:v>
                  </c:pt>
                  <c:pt idx="18">
                    <c:v>31/07/2025</c:v>
                  </c:pt>
                  <c:pt idx="19">
                    <c:v>31/08/2025</c:v>
                  </c:pt>
                  <c:pt idx="20">
                    <c:v>30/09/2025</c:v>
                  </c:pt>
                </c:lvl>
              </c:multiLvlStrCache>
            </c:multiLvlStrRef>
          </c:cat>
          <c:val>
            <c:numRef>
              <c:f>Hoja1!$AM$3:$AM$23</c:f>
              <c:numCache>
                <c:formatCode>General</c:formatCode>
                <c:ptCount val="21"/>
                <c:pt idx="0">
                  <c:v>100</c:v>
                </c:pt>
                <c:pt idx="1">
                  <c:v>88</c:v>
                </c:pt>
                <c:pt idx="2">
                  <c:v>94</c:v>
                </c:pt>
                <c:pt idx="3">
                  <c:v>56</c:v>
                </c:pt>
                <c:pt idx="4">
                  <c:v>46</c:v>
                </c:pt>
                <c:pt idx="5">
                  <c:v>40</c:v>
                </c:pt>
                <c:pt idx="6">
                  <c:v>46</c:v>
                </c:pt>
                <c:pt idx="7">
                  <c:v>44</c:v>
                </c:pt>
                <c:pt idx="8">
                  <c:v>42</c:v>
                </c:pt>
                <c:pt idx="9">
                  <c:v>54</c:v>
                </c:pt>
                <c:pt idx="10">
                  <c:v>94</c:v>
                </c:pt>
                <c:pt idx="11">
                  <c:v>96</c:v>
                </c:pt>
                <c:pt idx="12">
                  <c:v>100</c:v>
                </c:pt>
                <c:pt idx="13">
                  <c:v>88</c:v>
                </c:pt>
                <c:pt idx="14">
                  <c:v>94</c:v>
                </c:pt>
                <c:pt idx="15">
                  <c:v>56</c:v>
                </c:pt>
                <c:pt idx="16">
                  <c:v>46</c:v>
                </c:pt>
                <c:pt idx="17">
                  <c:v>40</c:v>
                </c:pt>
                <c:pt idx="18">
                  <c:v>46</c:v>
                </c:pt>
                <c:pt idx="19">
                  <c:v>44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DB-4C5A-9BB5-44A0BCD50CF4}"/>
            </c:ext>
          </c:extLst>
        </c:ser>
        <c:ser>
          <c:idx val="3"/>
          <c:order val="4"/>
          <c:tx>
            <c:strRef>
              <c:f>Hoja1!$AN$2</c:f>
              <c:strCache>
                <c:ptCount val="1"/>
                <c:pt idx="0">
                  <c:v>HORAS BASE SOLARES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Hoja1!$B$3:$AJ$23</c:f>
              <c:multiLvlStrCache>
                <c:ptCount val="21"/>
                <c:lvl>
                  <c:pt idx="7">
                    <c:v>NET MET </c:v>
                  </c:pt>
                  <c:pt idx="8">
                    <c:v>NET MET </c:v>
                  </c:pt>
                  <c:pt idx="9">
                    <c:v>NET MET </c:v>
                  </c:pt>
                  <c:pt idx="10">
                    <c:v>NET MET </c:v>
                  </c:pt>
                  <c:pt idx="11">
                    <c:v>NET MET </c:v>
                  </c:pt>
                  <c:pt idx="12">
                    <c:v>NET MET </c:v>
                  </c:pt>
                  <c:pt idx="13">
                    <c:v>NET MET </c:v>
                  </c:pt>
                  <c:pt idx="14">
                    <c:v>NET MET </c:v>
                  </c:pt>
                  <c:pt idx="15">
                    <c:v>NET MET </c:v>
                  </c:pt>
                  <c:pt idx="16">
                    <c:v>NET MET </c:v>
                  </c:pt>
                  <c:pt idx="17">
                    <c:v>NET MET </c:v>
                  </c:pt>
                  <c:pt idx="18">
                    <c:v>NET MET </c:v>
                  </c:pt>
                  <c:pt idx="19">
                    <c:v>NET MET </c:v>
                  </c:pt>
                  <c:pt idx="20">
                    <c:v>NET MET </c:v>
                  </c:pt>
                </c:lvl>
                <c:lvl>
                  <c:pt idx="0">
                    <c:v>$3,139,386.73</c:v>
                  </c:pt>
                  <c:pt idx="1">
                    <c:v>$3,382,391.85</c:v>
                  </c:pt>
                  <c:pt idx="2">
                    <c:v>$3,654,425.48</c:v>
                  </c:pt>
                  <c:pt idx="3">
                    <c:v>$2,667,773.08</c:v>
                  </c:pt>
                  <c:pt idx="4">
                    <c:v>$3,539,097.01</c:v>
                  </c:pt>
                  <c:pt idx="5">
                    <c:v>$3,535,459.65</c:v>
                  </c:pt>
                  <c:pt idx="6">
                    <c:v>$3,611,655.71</c:v>
                  </c:pt>
                  <c:pt idx="7">
                    <c:v>$3,721,605.57</c:v>
                  </c:pt>
                  <c:pt idx="8">
                    <c:v>$3,470,852.69</c:v>
                  </c:pt>
                  <c:pt idx="9">
                    <c:v>$3,505,262.83</c:v>
                  </c:pt>
                  <c:pt idx="10">
                    <c:v>$3,423,297.38</c:v>
                  </c:pt>
                  <c:pt idx="11">
                    <c:v>$2,879,446.80</c:v>
                  </c:pt>
                  <c:pt idx="12">
                    <c:v>$3,326,870.11</c:v>
                  </c:pt>
                  <c:pt idx="13">
                    <c:v>$3,159,111.38</c:v>
                  </c:pt>
                  <c:pt idx="14">
                    <c:v>$3,360,342.25</c:v>
                  </c:pt>
                  <c:pt idx="15">
                    <c:v>$3,159,586.64</c:v>
                  </c:pt>
                  <c:pt idx="16">
                    <c:v>$3,435,152.63</c:v>
                  </c:pt>
                  <c:pt idx="17">
                    <c:v>$3,469,952.56</c:v>
                  </c:pt>
                  <c:pt idx="18">
                    <c:v>$3,528,886.77</c:v>
                  </c:pt>
                  <c:pt idx="19">
                    <c:v>$3,506,402.47</c:v>
                  </c:pt>
                  <c:pt idx="20">
                    <c:v>$3,145,778.60</c:v>
                  </c:pt>
                </c:lvl>
                <c:lvl>
                  <c:pt idx="0">
                    <c:v>$3,139,385.89</c:v>
                  </c:pt>
                  <c:pt idx="1">
                    <c:v>$3,382,391.13</c:v>
                  </c:pt>
                  <c:pt idx="2">
                    <c:v>$3,654,424.63</c:v>
                  </c:pt>
                  <c:pt idx="3">
                    <c:v>$2,728,638.96</c:v>
                  </c:pt>
                  <c:pt idx="4">
                    <c:v>$3,539,096.92</c:v>
                  </c:pt>
                  <c:pt idx="5">
                    <c:v>$3,535,459.64</c:v>
                  </c:pt>
                  <c:pt idx="6">
                    <c:v>$3,611,655.06</c:v>
                  </c:pt>
                  <c:pt idx="7">
                    <c:v>$3,721,604.85</c:v>
                  </c:pt>
                  <c:pt idx="8">
                    <c:v>$3,470,852.11</c:v>
                  </c:pt>
                  <c:pt idx="9">
                    <c:v>$3,458,352.78</c:v>
                  </c:pt>
                  <c:pt idx="10">
                    <c:v>$3,423,296.55</c:v>
                  </c:pt>
                  <c:pt idx="11">
                    <c:v>$2,879,446.43</c:v>
                  </c:pt>
                  <c:pt idx="12">
                    <c:v>$3,326,869.33</c:v>
                  </c:pt>
                  <c:pt idx="13">
                    <c:v>$3,159,111.26</c:v>
                  </c:pt>
                  <c:pt idx="14">
                    <c:v>$3,360,341.87</c:v>
                  </c:pt>
                  <c:pt idx="15">
                    <c:v>$2,855,734.72</c:v>
                  </c:pt>
                  <c:pt idx="16">
                    <c:v>$3,435,151.97</c:v>
                  </c:pt>
                  <c:pt idx="17">
                    <c:v>$3,469,951.94</c:v>
                  </c:pt>
                  <c:pt idx="18">
                    <c:v>$3,528,886.22</c:v>
                  </c:pt>
                  <c:pt idx="19">
                    <c:v>$3,506,401.69</c:v>
                  </c:pt>
                  <c:pt idx="20">
                    <c:v>$3,362,728.34</c:v>
                  </c:pt>
                </c:lvl>
                <c:lvl>
                  <c:pt idx="0">
                    <c:v>$202,541.03</c:v>
                  </c:pt>
                  <c:pt idx="1">
                    <c:v>$218,218.78</c:v>
                  </c:pt>
                  <c:pt idx="2">
                    <c:v>$235,769.33</c:v>
                  </c:pt>
                  <c:pt idx="3">
                    <c:v>$176,041.22</c:v>
                  </c:pt>
                  <c:pt idx="4">
                    <c:v>$228,328.83</c:v>
                  </c:pt>
                  <c:pt idx="5">
                    <c:v>$228,094.17</c:v>
                  </c:pt>
                  <c:pt idx="6">
                    <c:v>$233,010.00</c:v>
                  </c:pt>
                  <c:pt idx="7">
                    <c:v>$240,103.54</c:v>
                  </c:pt>
                  <c:pt idx="8">
                    <c:v>$223,925.94</c:v>
                  </c:pt>
                  <c:pt idx="9">
                    <c:v>$223,119.53</c:v>
                  </c:pt>
                  <c:pt idx="10">
                    <c:v>$220,857.84</c:v>
                  </c:pt>
                  <c:pt idx="11">
                    <c:v>$185,770.74</c:v>
                  </c:pt>
                  <c:pt idx="12">
                    <c:v>$214,636.73</c:v>
                  </c:pt>
                  <c:pt idx="13">
                    <c:v>$203,813.63</c:v>
                  </c:pt>
                  <c:pt idx="14">
                    <c:v>$216,796.25</c:v>
                  </c:pt>
                  <c:pt idx="15">
                    <c:v>$184,240.95</c:v>
                  </c:pt>
                  <c:pt idx="16">
                    <c:v>$221,622.71</c:v>
                  </c:pt>
                  <c:pt idx="17">
                    <c:v>$223,867.87</c:v>
                  </c:pt>
                  <c:pt idx="18">
                    <c:v>$227,670.08</c:v>
                  </c:pt>
                  <c:pt idx="19">
                    <c:v>$226,219.46</c:v>
                  </c:pt>
                  <c:pt idx="20">
                    <c:v>$216,950.22</c:v>
                  </c:pt>
                </c:lvl>
                <c:lvl>
                  <c:pt idx="0">
                    <c:v>$405,082.05</c:v>
                  </c:pt>
                  <c:pt idx="1">
                    <c:v>$436,437.57</c:v>
                  </c:pt>
                  <c:pt idx="2">
                    <c:v>$471,538.66</c:v>
                  </c:pt>
                  <c:pt idx="3">
                    <c:v>$352,082.45</c:v>
                  </c:pt>
                  <c:pt idx="4">
                    <c:v>$456,657.67</c:v>
                  </c:pt>
                  <c:pt idx="5">
                    <c:v>$456,188.34</c:v>
                  </c:pt>
                  <c:pt idx="6">
                    <c:v>$466,020.01</c:v>
                  </c:pt>
                  <c:pt idx="7">
                    <c:v>$480,207.08</c:v>
                  </c:pt>
                  <c:pt idx="8">
                    <c:v>$447,851.89</c:v>
                  </c:pt>
                  <c:pt idx="9">
                    <c:v>$446,239.07</c:v>
                  </c:pt>
                  <c:pt idx="10">
                    <c:v>$441,715.68</c:v>
                  </c:pt>
                  <c:pt idx="11">
                    <c:v>$371,541.47</c:v>
                  </c:pt>
                  <c:pt idx="12">
                    <c:v>$429,273.46</c:v>
                  </c:pt>
                  <c:pt idx="13">
                    <c:v>$407,627.26</c:v>
                  </c:pt>
                  <c:pt idx="14">
                    <c:v>$433,592.50</c:v>
                  </c:pt>
                  <c:pt idx="15">
                    <c:v>$368,481.90</c:v>
                  </c:pt>
                  <c:pt idx="16">
                    <c:v>$443,245.42</c:v>
                  </c:pt>
                  <c:pt idx="17">
                    <c:v>$447,735.73</c:v>
                  </c:pt>
                  <c:pt idx="18">
                    <c:v>$455,340.16</c:v>
                  </c:pt>
                  <c:pt idx="19">
                    <c:v>$452,438.93</c:v>
                  </c:pt>
                  <c:pt idx="20">
                    <c:v>$433,900.43</c:v>
                  </c:pt>
                </c:lvl>
                <c:lvl>
                  <c:pt idx="0">
                    <c:v>$2,531,762.82</c:v>
                  </c:pt>
                  <c:pt idx="1">
                    <c:v>$2,727,734.78</c:v>
                  </c:pt>
                  <c:pt idx="2">
                    <c:v>$2,947,116.63</c:v>
                  </c:pt>
                  <c:pt idx="3">
                    <c:v>$2,200,515.29</c:v>
                  </c:pt>
                  <c:pt idx="4">
                    <c:v>$2,854,110.42</c:v>
                  </c:pt>
                  <c:pt idx="5">
                    <c:v>$2,851,177.13</c:v>
                  </c:pt>
                  <c:pt idx="6">
                    <c:v>$2,912,625.05</c:v>
                  </c:pt>
                  <c:pt idx="7">
                    <c:v>$3,001,294.23</c:v>
                  </c:pt>
                  <c:pt idx="8">
                    <c:v>$2,799,074.29</c:v>
                  </c:pt>
                  <c:pt idx="9">
                    <c:v>$2,788,994.18</c:v>
                  </c:pt>
                  <c:pt idx="10">
                    <c:v>$2,760,723.02</c:v>
                  </c:pt>
                  <c:pt idx="11">
                    <c:v>$2,322,134.22</c:v>
                  </c:pt>
                  <c:pt idx="12">
                    <c:v>$2,682,959.14</c:v>
                  </c:pt>
                  <c:pt idx="13">
                    <c:v>$2,547,670.37</c:v>
                  </c:pt>
                  <c:pt idx="14">
                    <c:v>$2,709,953.12</c:v>
                  </c:pt>
                  <c:pt idx="15">
                    <c:v>$2,303,011.87</c:v>
                  </c:pt>
                  <c:pt idx="16">
                    <c:v>$2,770,283.84</c:v>
                  </c:pt>
                  <c:pt idx="17">
                    <c:v>$2,798,348.34</c:v>
                  </c:pt>
                  <c:pt idx="18">
                    <c:v>$2,845,875.98</c:v>
                  </c:pt>
                  <c:pt idx="19">
                    <c:v>$2,827,743.30</c:v>
                  </c:pt>
                  <c:pt idx="20">
                    <c:v>$2,711,877.70</c:v>
                  </c:pt>
                </c:lvl>
                <c:lvl>
                  <c:pt idx="0">
                    <c:v>$7,572.57</c:v>
                  </c:pt>
                  <c:pt idx="1">
                    <c:v>$13,570.82</c:v>
                  </c:pt>
                  <c:pt idx="2">
                    <c:v>$14,662.27</c:v>
                  </c:pt>
                  <c:pt idx="3">
                    <c:v>$0.00</c:v>
                  </c:pt>
                  <c:pt idx="4">
                    <c:v>$33,843.21</c:v>
                  </c:pt>
                  <c:pt idx="5">
                    <c:v>$33,808.42</c:v>
                  </c:pt>
                  <c:pt idx="6">
                    <c:v>$28,837.87</c:v>
                  </c:pt>
                  <c:pt idx="7">
                    <c:v>$26,770.71</c:v>
                  </c:pt>
                  <c:pt idx="8">
                    <c:v>$22,214.88</c:v>
                  </c:pt>
                  <c:pt idx="9">
                    <c:v>$16,634.16</c:v>
                  </c:pt>
                  <c:pt idx="10">
                    <c:v>$13,734.94</c:v>
                  </c:pt>
                  <c:pt idx="11">
                    <c:v>$9,251.53</c:v>
                  </c:pt>
                  <c:pt idx="12">
                    <c:v>$8,024.80</c:v>
                  </c:pt>
                  <c:pt idx="13">
                    <c:v>$12,674.98</c:v>
                  </c:pt>
                  <c:pt idx="14">
                    <c:v>$21,507.56</c:v>
                  </c:pt>
                  <c:pt idx="15">
                    <c:v>$27,308.44</c:v>
                  </c:pt>
                  <c:pt idx="16">
                    <c:v>$27,428.55</c:v>
                  </c:pt>
                  <c:pt idx="17">
                    <c:v>$24,960.49</c:v>
                  </c:pt>
                  <c:pt idx="18">
                    <c:v>$25,384.42</c:v>
                  </c:pt>
                  <c:pt idx="19">
                    <c:v>$14,068.37</c:v>
                  </c:pt>
                  <c:pt idx="20">
                    <c:v>$16,174.22</c:v>
                  </c:pt>
                </c:lvl>
                <c:lvl>
                  <c:pt idx="0">
                    <c:v>0.30%</c:v>
                  </c:pt>
                  <c:pt idx="1">
                    <c:v>0.50%</c:v>
                  </c:pt>
                  <c:pt idx="2">
                    <c:v>0.50%</c:v>
                  </c:pt>
                  <c:pt idx="3">
                    <c:v>0.00%</c:v>
                  </c:pt>
                  <c:pt idx="4">
                    <c:v>1.20%</c:v>
                  </c:pt>
                  <c:pt idx="5">
                    <c:v>1.20%</c:v>
                  </c:pt>
                  <c:pt idx="6">
                    <c:v>1.00%</c:v>
                  </c:pt>
                  <c:pt idx="7">
                    <c:v>0.90%</c:v>
                  </c:pt>
                  <c:pt idx="8">
                    <c:v>0.80%</c:v>
                  </c:pt>
                  <c:pt idx="9">
                    <c:v>0.60%</c:v>
                  </c:pt>
                  <c:pt idx="10">
                    <c:v>0.50%</c:v>
                  </c:pt>
                  <c:pt idx="11">
                    <c:v>0.40%</c:v>
                  </c:pt>
                  <c:pt idx="12">
                    <c:v>0.30%</c:v>
                  </c:pt>
                  <c:pt idx="13">
                    <c:v>0.50%</c:v>
                  </c:pt>
                  <c:pt idx="14">
                    <c:v>0.80%</c:v>
                  </c:pt>
                  <c:pt idx="15">
                    <c:v>1.20%</c:v>
                  </c:pt>
                  <c:pt idx="16">
                    <c:v>1.00%</c:v>
                  </c:pt>
                  <c:pt idx="17">
                    <c:v>0.90%</c:v>
                  </c:pt>
                  <c:pt idx="18">
                    <c:v>0.90%</c:v>
                  </c:pt>
                  <c:pt idx="19">
                    <c:v>0.50%</c:v>
                  </c:pt>
                  <c:pt idx="20">
                    <c:v>0.60%</c:v>
                  </c:pt>
                </c:lvl>
                <c:lvl>
                  <c:pt idx="0">
                    <c:v>$2,523,827.65</c:v>
                  </c:pt>
                  <c:pt idx="1">
                    <c:v>$2,713,801.36</c:v>
                  </c:pt>
                  <c:pt idx="2">
                    <c:v>$2,932,091.76</c:v>
                  </c:pt>
                  <c:pt idx="3">
                    <c:v>$2,200,152.69</c:v>
                  </c:pt>
                  <c:pt idx="4">
                    <c:v>$2,819,904.61</c:v>
                  </c:pt>
                  <c:pt idx="5">
                    <c:v>$2,817,006.11</c:v>
                  </c:pt>
                  <c:pt idx="6">
                    <c:v>$2,883,424.57</c:v>
                  </c:pt>
                  <c:pt idx="7">
                    <c:v>$2,974,160.92</c:v>
                  </c:pt>
                  <c:pt idx="8">
                    <c:v>$2,776,496.81</c:v>
                  </c:pt>
                  <c:pt idx="9">
                    <c:v>$2,771,997.42</c:v>
                  </c:pt>
                  <c:pt idx="10">
                    <c:v>$2,746,625.48</c:v>
                  </c:pt>
                  <c:pt idx="11">
                    <c:v>$2,312,520.09</c:v>
                  </c:pt>
                  <c:pt idx="12">
                    <c:v>$2,674,565.39</c:v>
                  </c:pt>
                  <c:pt idx="13">
                    <c:v>$2,534,626.44</c:v>
                  </c:pt>
                  <c:pt idx="14">
                    <c:v>$2,688,076.61</c:v>
                  </c:pt>
                  <c:pt idx="15">
                    <c:v>$2,275,334.48</c:v>
                  </c:pt>
                  <c:pt idx="16">
                    <c:v>$2,742,486.34</c:v>
                  </c:pt>
                  <c:pt idx="17">
                    <c:v>$2,773,018.90</c:v>
                  </c:pt>
                  <c:pt idx="18">
                    <c:v>$2,820,122.61</c:v>
                  </c:pt>
                  <c:pt idx="19">
                    <c:v>$2,813,305.98</c:v>
                  </c:pt>
                  <c:pt idx="20">
                    <c:v>$2,695,334.53</c:v>
                  </c:pt>
                </c:lvl>
                <c:lvl>
                  <c:pt idx="0">
                    <c:v>$727,905.75</c:v>
                  </c:pt>
                  <c:pt idx="1">
                    <c:v>$785,361.39</c:v>
                  </c:pt>
                  <c:pt idx="2">
                    <c:v>$754,425.62</c:v>
                  </c:pt>
                  <c:pt idx="3">
                    <c:v>$42,889.35</c:v>
                  </c:pt>
                  <c:pt idx="4">
                    <c:v>$795,291.09</c:v>
                  </c:pt>
                  <c:pt idx="5">
                    <c:v>$805,094.37</c:v>
                  </c:pt>
                  <c:pt idx="6">
                    <c:v>$799,718.08</c:v>
                  </c:pt>
                  <c:pt idx="7">
                    <c:v>$811,328.05</c:v>
                  </c:pt>
                  <c:pt idx="8">
                    <c:v>$787,216.02</c:v>
                  </c:pt>
                  <c:pt idx="9">
                    <c:v>$738,932.80</c:v>
                  </c:pt>
                  <c:pt idx="10">
                    <c:v>$765,607.83</c:v>
                  </c:pt>
                  <c:pt idx="11">
                    <c:v>$737,018.47</c:v>
                  </c:pt>
                  <c:pt idx="12">
                    <c:v>$738,819.38</c:v>
                  </c:pt>
                  <c:pt idx="13">
                    <c:v>$758,989.74</c:v>
                  </c:pt>
                  <c:pt idx="14">
                    <c:v>$764,803.41</c:v>
                  </c:pt>
                  <c:pt idx="15">
                    <c:v>$764,381.10</c:v>
                  </c:pt>
                  <c:pt idx="16">
                    <c:v>$772,827.30</c:v>
                  </c:pt>
                  <c:pt idx="17">
                    <c:v>$803,720.06</c:v>
                  </c:pt>
                  <c:pt idx="18">
                    <c:v>$799,530.04</c:v>
                  </c:pt>
                  <c:pt idx="19">
                    <c:v>$783,943.12</c:v>
                  </c:pt>
                  <c:pt idx="20">
                    <c:v>$781,560.95</c:v>
                  </c:pt>
                </c:lvl>
                <c:lvl>
                  <c:pt idx="0">
                    <c:v>$184,676.25</c:v>
                  </c:pt>
                  <c:pt idx="1">
                    <c:v>$198,107.25</c:v>
                  </c:pt>
                  <c:pt idx="2">
                    <c:v>$204,721.00</c:v>
                  </c:pt>
                  <c:pt idx="3">
                    <c:v>$204,721.00</c:v>
                  </c:pt>
                  <c:pt idx="4">
                    <c:v>$198,107.25</c:v>
                  </c:pt>
                  <c:pt idx="5">
                    <c:v>$200,549.25</c:v>
                  </c:pt>
                  <c:pt idx="6">
                    <c:v>$194,444.25</c:v>
                  </c:pt>
                  <c:pt idx="7">
                    <c:v>$195,868.75</c:v>
                  </c:pt>
                  <c:pt idx="8">
                    <c:v>$189,967.25</c:v>
                  </c:pt>
                  <c:pt idx="9">
                    <c:v>$188,034.00</c:v>
                  </c:pt>
                  <c:pt idx="10">
                    <c:v>$184,065.75</c:v>
                  </c:pt>
                  <c:pt idx="11">
                    <c:v>$189,255.00</c:v>
                  </c:pt>
                  <c:pt idx="12">
                    <c:v>$189,404.80</c:v>
                  </c:pt>
                  <c:pt idx="13">
                    <c:v>$183,485.90</c:v>
                  </c:pt>
                  <c:pt idx="14">
                    <c:v>$184,812.55</c:v>
                  </c:pt>
                  <c:pt idx="15">
                    <c:v>$187,434.07</c:v>
                  </c:pt>
                  <c:pt idx="16">
                    <c:v>$188,792.50</c:v>
                  </c:pt>
                  <c:pt idx="17">
                    <c:v>$189,915.05</c:v>
                  </c:pt>
                  <c:pt idx="18">
                    <c:v>$185,935.10</c:v>
                  </c:pt>
                  <c:pt idx="19">
                    <c:v>$183,894.10</c:v>
                  </c:pt>
                  <c:pt idx="20">
                    <c:v>$183,179.75</c:v>
                  </c:pt>
                </c:lvl>
                <c:lvl>
                  <c:pt idx="0">
                    <c:v>$308,847.95</c:v>
                  </c:pt>
                  <c:pt idx="1">
                    <c:v>$328,503.57</c:v>
                  </c:pt>
                  <c:pt idx="2">
                    <c:v>$355,295.29</c:v>
                  </c:pt>
                  <c:pt idx="3">
                    <c:v>$203,590.27</c:v>
                  </c:pt>
                  <c:pt idx="4">
                    <c:v>$163,278.78</c:v>
                  </c:pt>
                  <c:pt idx="5">
                    <c:v>$159,306.03</c:v>
                  </c:pt>
                  <c:pt idx="6">
                    <c:v>$178,193.47</c:v>
                  </c:pt>
                  <c:pt idx="7">
                    <c:v>$178,632.61</c:v>
                  </c:pt>
                  <c:pt idx="8">
                    <c:v>$158,063.87</c:v>
                  </c:pt>
                  <c:pt idx="9">
                    <c:v>$199,964.51</c:v>
                  </c:pt>
                  <c:pt idx="10">
                    <c:v>$342,319.61</c:v>
                  </c:pt>
                  <c:pt idx="11">
                    <c:v>$259,868.40</c:v>
                  </c:pt>
                  <c:pt idx="12">
                    <c:v>$343,169.19</c:v>
                  </c:pt>
                  <c:pt idx="13">
                    <c:v>$314,088.63</c:v>
                  </c:pt>
                  <c:pt idx="14">
                    <c:v>$333,514.16</c:v>
                  </c:pt>
                  <c:pt idx="15">
                    <c:v>$129,076.53</c:v>
                  </c:pt>
                  <c:pt idx="16">
                    <c:v>$163,609.04</c:v>
                  </c:pt>
                  <c:pt idx="17">
                    <c:v>$161,531.31</c:v>
                  </c:pt>
                  <c:pt idx="18">
                    <c:v>$174,133.65</c:v>
                  </c:pt>
                  <c:pt idx="19">
                    <c:v>$162,733.00</c:v>
                  </c:pt>
                  <c:pt idx="20">
                    <c:v>$157,959.86</c:v>
                  </c:pt>
                </c:lvl>
                <c:lvl>
                  <c:pt idx="0">
                    <c:v>$1,008,360.25</c:v>
                  </c:pt>
                  <c:pt idx="1">
                    <c:v>$1,074,400.31</c:v>
                  </c:pt>
                  <c:pt idx="2">
                    <c:v>$1,248,783.11</c:v>
                  </c:pt>
                  <c:pt idx="3">
                    <c:v>$1,381,986.70</c:v>
                  </c:pt>
                  <c:pt idx="4">
                    <c:v>$1,294,737.76</c:v>
                  </c:pt>
                  <c:pt idx="5">
                    <c:v>$1,286,822.97</c:v>
                  </c:pt>
                  <c:pt idx="6">
                    <c:v>$1,363,811.29</c:v>
                  </c:pt>
                  <c:pt idx="7">
                    <c:v>$1,416,522.48</c:v>
                  </c:pt>
                  <c:pt idx="8">
                    <c:v>$1,271,155.20</c:v>
                  </c:pt>
                  <c:pt idx="9">
                    <c:v>$1,285,313.15</c:v>
                  </c:pt>
                  <c:pt idx="10">
                    <c:v>$1,098,790.79</c:v>
                  </c:pt>
                  <c:pt idx="11">
                    <c:v>$831,661.35</c:v>
                  </c:pt>
                  <c:pt idx="12">
                    <c:v>$1,078,026.43</c:v>
                  </c:pt>
                  <c:pt idx="13">
                    <c:v>$962,691.85</c:v>
                  </c:pt>
                  <c:pt idx="14">
                    <c:v>$1,050,830.64</c:v>
                  </c:pt>
                  <c:pt idx="15">
                    <c:v>$937,383.42</c:v>
                  </c:pt>
                  <c:pt idx="16">
                    <c:v>$1,265,279.21</c:v>
                  </c:pt>
                  <c:pt idx="17">
                    <c:v>$1,264,248.36</c:v>
                  </c:pt>
                  <c:pt idx="18">
                    <c:v>$1,322,411.97</c:v>
                  </c:pt>
                  <c:pt idx="19">
                    <c:v>$1,321,038.15</c:v>
                  </c:pt>
                  <c:pt idx="20">
                    <c:v>$1,246,004.72</c:v>
                  </c:pt>
                </c:lvl>
                <c:lvl>
                  <c:pt idx="0">
                    <c:v>$294,037.45</c:v>
                  </c:pt>
                  <c:pt idx="1">
                    <c:v>$327,428.85</c:v>
                  </c:pt>
                  <c:pt idx="2">
                    <c:v>$368,866.75</c:v>
                  </c:pt>
                  <c:pt idx="3">
                    <c:v>$366,965.38</c:v>
                  </c:pt>
                  <c:pt idx="4">
                    <c:v>$368,489.73</c:v>
                  </c:pt>
                  <c:pt idx="5">
                    <c:v>$365,233.49</c:v>
                  </c:pt>
                  <c:pt idx="6">
                    <c:v>$347,257.49</c:v>
                  </c:pt>
                  <c:pt idx="7">
                    <c:v>$371,809.04</c:v>
                  </c:pt>
                  <c:pt idx="8">
                    <c:v>$370,094.47</c:v>
                  </c:pt>
                  <c:pt idx="9">
                    <c:v>$359,752.96</c:v>
                  </c:pt>
                  <c:pt idx="10">
                    <c:v>$355,841.51</c:v>
                  </c:pt>
                  <c:pt idx="11">
                    <c:v>$294,716.87</c:v>
                  </c:pt>
                  <c:pt idx="12">
                    <c:v>$325,145.59</c:v>
                  </c:pt>
                  <c:pt idx="13">
                    <c:v>$315,370.33</c:v>
                  </c:pt>
                  <c:pt idx="14">
                    <c:v>$354,115.85</c:v>
                  </c:pt>
                  <c:pt idx="15">
                    <c:v>$257,059.36</c:v>
                  </c:pt>
                  <c:pt idx="16">
                    <c:v>$351,978.29</c:v>
                  </c:pt>
                  <c:pt idx="17">
                    <c:v>$353,604.12</c:v>
                  </c:pt>
                  <c:pt idx="18">
                    <c:v>$338,111.85</c:v>
                  </c:pt>
                  <c:pt idx="19">
                    <c:v>$361,697.60</c:v>
                  </c:pt>
                  <c:pt idx="20">
                    <c:v>$326,629.24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1836.688596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$401.05</c:v>
                  </c:pt>
                  <c:pt idx="1">
                    <c:v>$403.37</c:v>
                  </c:pt>
                  <c:pt idx="2">
                    <c:v>$408.46</c:v>
                  </c:pt>
                  <c:pt idx="3">
                    <c:v>$408.47</c:v>
                  </c:pt>
                  <c:pt idx="4">
                    <c:v>$408.47</c:v>
                  </c:pt>
                  <c:pt idx="5">
                    <c:v>$408.47</c:v>
                  </c:pt>
                  <c:pt idx="6">
                    <c:v>$420.02</c:v>
                  </c:pt>
                  <c:pt idx="7">
                    <c:v>$423.67</c:v>
                  </c:pt>
                  <c:pt idx="8">
                    <c:v>$423.69</c:v>
                  </c:pt>
                  <c:pt idx="9">
                    <c:v>$423.70</c:v>
                  </c:pt>
                  <c:pt idx="10">
                    <c:v>$423.69</c:v>
                  </c:pt>
                  <c:pt idx="11">
                    <c:v>$416.63</c:v>
                  </c:pt>
                  <c:pt idx="12">
                    <c:v>$421.46</c:v>
                  </c:pt>
                  <c:pt idx="13">
                    <c:v>$422.13</c:v>
                  </c:pt>
                  <c:pt idx="14">
                    <c:v>$422.31</c:v>
                  </c:pt>
                  <c:pt idx="15">
                    <c:v>$422.31</c:v>
                  </c:pt>
                  <c:pt idx="16">
                    <c:v>$422.31</c:v>
                  </c:pt>
                  <c:pt idx="17">
                    <c:v>$432.34</c:v>
                  </c:pt>
                  <c:pt idx="18">
                    <c:v>$438.82</c:v>
                  </c:pt>
                  <c:pt idx="19">
                    <c:v>$439.43</c:v>
                  </c:pt>
                  <c:pt idx="20">
                    <c:v>$435.41</c:v>
                  </c:pt>
                </c:lvl>
                <c:lvl>
                  <c:pt idx="0">
                    <c:v>$101.75</c:v>
                  </c:pt>
                  <c:pt idx="1">
                    <c:v>$101.75</c:v>
                  </c:pt>
                  <c:pt idx="2">
                    <c:v>$101.75</c:v>
                  </c:pt>
                  <c:pt idx="3">
                    <c:v>$101.75</c:v>
                  </c:pt>
                  <c:pt idx="4">
                    <c:v>$101.75</c:v>
                  </c:pt>
                  <c:pt idx="5">
                    <c:v>$101.75</c:v>
                  </c:pt>
                  <c:pt idx="6">
                    <c:v>$101.75</c:v>
                  </c:pt>
                  <c:pt idx="7">
                    <c:v>$101.75</c:v>
                  </c:pt>
                  <c:pt idx="8">
                    <c:v>$101.75</c:v>
                  </c:pt>
                  <c:pt idx="9">
                    <c:v>$101.75</c:v>
                  </c:pt>
                  <c:pt idx="10">
                    <c:v>$101.75</c:v>
                  </c:pt>
                  <c:pt idx="11">
                    <c:v>$101.75</c:v>
                  </c:pt>
                  <c:pt idx="12">
                    <c:v>$102.05</c:v>
                  </c:pt>
                  <c:pt idx="13">
                    <c:v>$102.05</c:v>
                  </c:pt>
                  <c:pt idx="14">
                    <c:v>$102.05</c:v>
                  </c:pt>
                  <c:pt idx="15">
                    <c:v>$102.05</c:v>
                  </c:pt>
                  <c:pt idx="16">
                    <c:v>$102.05</c:v>
                  </c:pt>
                  <c:pt idx="17">
                    <c:v>$102.05</c:v>
                  </c:pt>
                  <c:pt idx="18">
                    <c:v>$102.05</c:v>
                  </c:pt>
                  <c:pt idx="19">
                    <c:v>$102.05</c:v>
                  </c:pt>
                  <c:pt idx="20">
                    <c:v>$102.05</c:v>
                  </c:pt>
                </c:lvl>
                <c:lvl>
                  <c:pt idx="0">
                    <c:v>$2.18</c:v>
                  </c:pt>
                  <c:pt idx="1">
                    <c:v>$2.19</c:v>
                  </c:pt>
                  <c:pt idx="2">
                    <c:v>$2.21</c:v>
                  </c:pt>
                  <c:pt idx="3">
                    <c:v>$2.21</c:v>
                  </c:pt>
                  <c:pt idx="4">
                    <c:v>$2.21</c:v>
                  </c:pt>
                  <c:pt idx="5">
                    <c:v>$2.21</c:v>
                  </c:pt>
                  <c:pt idx="6">
                    <c:v>$2.27</c:v>
                  </c:pt>
                  <c:pt idx="7">
                    <c:v>$2.29</c:v>
                  </c:pt>
                  <c:pt idx="8">
                    <c:v>$2.29</c:v>
                  </c:pt>
                  <c:pt idx="9">
                    <c:v>$2.29</c:v>
                  </c:pt>
                  <c:pt idx="10">
                    <c:v>$2.29</c:v>
                  </c:pt>
                  <c:pt idx="11">
                    <c:v>$2.25</c:v>
                  </c:pt>
                  <c:pt idx="12">
                    <c:v>$2.28</c:v>
                  </c:pt>
                  <c:pt idx="13">
                    <c:v>$2.28</c:v>
                  </c:pt>
                  <c:pt idx="14">
                    <c:v>$2.28</c:v>
                  </c:pt>
                  <c:pt idx="15">
                    <c:v>$2.28</c:v>
                  </c:pt>
                  <c:pt idx="16">
                    <c:v>$2.28</c:v>
                  </c:pt>
                  <c:pt idx="17">
                    <c:v>$2.33</c:v>
                  </c:pt>
                  <c:pt idx="18">
                    <c:v>$2.37</c:v>
                  </c:pt>
                  <c:pt idx="19">
                    <c:v>$2.37</c:v>
                  </c:pt>
                  <c:pt idx="20">
                    <c:v>$2.35</c:v>
                  </c:pt>
                </c:lvl>
                <c:lvl>
                  <c:pt idx="0">
                    <c:v>$1.91</c:v>
                  </c:pt>
                  <c:pt idx="1">
                    <c:v>$1.92</c:v>
                  </c:pt>
                  <c:pt idx="2">
                    <c:v>$1.94</c:v>
                  </c:pt>
                  <c:pt idx="3">
                    <c:v>$1.94</c:v>
                  </c:pt>
                  <c:pt idx="4">
                    <c:v>$1.94</c:v>
                  </c:pt>
                  <c:pt idx="5">
                    <c:v>$1.94</c:v>
                  </c:pt>
                  <c:pt idx="6">
                    <c:v>$1.99</c:v>
                  </c:pt>
                  <c:pt idx="7">
                    <c:v>$2.01</c:v>
                  </c:pt>
                  <c:pt idx="8">
                    <c:v>$2.01</c:v>
                  </c:pt>
                  <c:pt idx="9">
                    <c:v>$2.01</c:v>
                  </c:pt>
                  <c:pt idx="10">
                    <c:v>$2.01</c:v>
                  </c:pt>
                  <c:pt idx="11">
                    <c:v>$1.97</c:v>
                  </c:pt>
                  <c:pt idx="12">
                    <c:v>$2.00</c:v>
                  </c:pt>
                  <c:pt idx="13">
                    <c:v>$2.00</c:v>
                  </c:pt>
                  <c:pt idx="14">
                    <c:v>$2.00</c:v>
                  </c:pt>
                  <c:pt idx="15">
                    <c:v>$2.00</c:v>
                  </c:pt>
                  <c:pt idx="16">
                    <c:v>$2.00</c:v>
                  </c:pt>
                  <c:pt idx="17">
                    <c:v>$2.05</c:v>
                  </c:pt>
                  <c:pt idx="18">
                    <c:v>$2.07</c:v>
                  </c:pt>
                  <c:pt idx="19">
                    <c:v>$2.08</c:v>
                  </c:pt>
                  <c:pt idx="20">
                    <c:v>$2.06</c:v>
                  </c:pt>
                </c:lvl>
                <c:lvl>
                  <c:pt idx="0">
                    <c:v>$1.07</c:v>
                  </c:pt>
                  <c:pt idx="1">
                    <c:v>$1.08</c:v>
                  </c:pt>
                  <c:pt idx="2">
                    <c:v>$1.09</c:v>
                  </c:pt>
                  <c:pt idx="3">
                    <c:v>$1.09</c:v>
                  </c:pt>
                  <c:pt idx="4">
                    <c:v>$1.09</c:v>
                  </c:pt>
                  <c:pt idx="5">
                    <c:v>$1.09</c:v>
                  </c:pt>
                  <c:pt idx="6">
                    <c:v>$1.11</c:v>
                  </c:pt>
                  <c:pt idx="7">
                    <c:v>$1.12</c:v>
                  </c:pt>
                  <c:pt idx="8">
                    <c:v>$1.12</c:v>
                  </c:pt>
                  <c:pt idx="9">
                    <c:v>$1.12</c:v>
                  </c:pt>
                  <c:pt idx="10">
                    <c:v>$1.12</c:v>
                  </c:pt>
                  <c:pt idx="11">
                    <c:v>$1.10</c:v>
                  </c:pt>
                  <c:pt idx="12">
                    <c:v>$1.12</c:v>
                  </c:pt>
                  <c:pt idx="13">
                    <c:v>$1.12</c:v>
                  </c:pt>
                  <c:pt idx="14">
                    <c:v>$1.12</c:v>
                  </c:pt>
                  <c:pt idx="15">
                    <c:v>$1.12</c:v>
                  </c:pt>
                  <c:pt idx="16">
                    <c:v>$1.12</c:v>
                  </c:pt>
                  <c:pt idx="17">
                    <c:v>$1.14</c:v>
                  </c:pt>
                  <c:pt idx="18">
                    <c:v>$1.16</c:v>
                  </c:pt>
                  <c:pt idx="19">
                    <c:v>$1.16</c:v>
                  </c:pt>
                  <c:pt idx="20">
                    <c:v>$1.15</c:v>
                  </c:pt>
                </c:lvl>
                <c:lvl>
                  <c:pt idx="0">
                    <c:v>$362.60</c:v>
                  </c:pt>
                  <c:pt idx="1">
                    <c:v>$362.60</c:v>
                  </c:pt>
                  <c:pt idx="2">
                    <c:v>$362.60</c:v>
                  </c:pt>
                  <c:pt idx="3">
                    <c:v>$362.60</c:v>
                  </c:pt>
                  <c:pt idx="4">
                    <c:v>$362.60</c:v>
                  </c:pt>
                  <c:pt idx="5">
                    <c:v>$362.60</c:v>
                  </c:pt>
                  <c:pt idx="6">
                    <c:v>$362.60</c:v>
                  </c:pt>
                  <c:pt idx="7">
                    <c:v>$362.60</c:v>
                  </c:pt>
                  <c:pt idx="8">
                    <c:v>$362.60</c:v>
                  </c:pt>
                  <c:pt idx="9">
                    <c:v>$362.60</c:v>
                  </c:pt>
                  <c:pt idx="10">
                    <c:v>$362.60</c:v>
                  </c:pt>
                  <c:pt idx="11">
                    <c:v>$362.60</c:v>
                  </c:pt>
                  <c:pt idx="12">
                    <c:v>$368.95</c:v>
                  </c:pt>
                  <c:pt idx="13">
                    <c:v>$368.95</c:v>
                  </c:pt>
                  <c:pt idx="14">
                    <c:v>$368.95</c:v>
                  </c:pt>
                  <c:pt idx="15">
                    <c:v>$368.95</c:v>
                  </c:pt>
                  <c:pt idx="16">
                    <c:v>$368.95</c:v>
                  </c:pt>
                  <c:pt idx="17">
                    <c:v>$368.95</c:v>
                  </c:pt>
                  <c:pt idx="18">
                    <c:v>$368.95</c:v>
                  </c:pt>
                  <c:pt idx="19">
                    <c:v>$368.95</c:v>
                  </c:pt>
                  <c:pt idx="20">
                    <c:v>$368.95</c:v>
                  </c:pt>
                </c:lvl>
                <c:lvl>
                  <c:pt idx="0">
                    <c:v>94.56</c:v>
                  </c:pt>
                  <c:pt idx="1">
                    <c:v>94.19</c:v>
                  </c:pt>
                  <c:pt idx="2">
                    <c:v>94.28</c:v>
                  </c:pt>
                  <c:pt idx="3">
                    <c:v>94.93</c:v>
                  </c:pt>
                  <c:pt idx="4">
                    <c:v>93.13</c:v>
                  </c:pt>
                  <c:pt idx="5">
                    <c:v>93.14</c:v>
                  </c:pt>
                  <c:pt idx="6">
                    <c:v>93.39</c:v>
                  </c:pt>
                  <c:pt idx="7">
                    <c:v>93.66</c:v>
                  </c:pt>
                  <c:pt idx="8">
                    <c:v>93.76</c:v>
                  </c:pt>
                  <c:pt idx="9">
                    <c:v>94.1</c:v>
                  </c:pt>
                  <c:pt idx="10">
                    <c:v>94.17</c:v>
                  </c:pt>
                  <c:pt idx="11">
                    <c:v>94.32</c:v>
                  </c:pt>
                  <c:pt idx="12">
                    <c:v>94.57</c:v>
                  </c:pt>
                  <c:pt idx="13">
                    <c:v>94.2</c:v>
                  </c:pt>
                  <c:pt idx="14">
                    <c:v>93.81</c:v>
                  </c:pt>
                  <c:pt idx="15">
                    <c:v>93.14</c:v>
                  </c:pt>
                  <c:pt idx="16">
                    <c:v>93.4</c:v>
                  </c:pt>
                  <c:pt idx="17">
                    <c:v>93.59</c:v>
                  </c:pt>
                  <c:pt idx="18">
                    <c:v>93.67</c:v>
                  </c:pt>
                  <c:pt idx="19">
                    <c:v>94.27</c:v>
                  </c:pt>
                  <c:pt idx="20">
                    <c:v>94.01</c:v>
                  </c:pt>
                </c:lvl>
                <c:lvl>
                  <c:pt idx="0">
                    <c:v>325156</c:v>
                  </c:pt>
                  <c:pt idx="1">
                    <c:v>361949</c:v>
                  </c:pt>
                  <c:pt idx="2">
                    <c:v>404533</c:v>
                  </c:pt>
                  <c:pt idx="3">
                    <c:v>378731</c:v>
                  </c:pt>
                  <c:pt idx="4">
                    <c:v>422677</c:v>
                  </c:pt>
                  <c:pt idx="5">
                    <c:v>418685</c:v>
                  </c:pt>
                  <c:pt idx="6">
                    <c:v>412155</c:v>
                  </c:pt>
                  <c:pt idx="7">
                    <c:v>417877</c:v>
                  </c:pt>
                  <c:pt idx="8">
                    <c:v>383440</c:v>
                  </c:pt>
                  <c:pt idx="9">
                    <c:v>383597</c:v>
                  </c:pt>
                  <c:pt idx="10">
                    <c:v>362838</c:v>
                  </c:pt>
                  <c:pt idx="11">
                    <c:v>282886</c:v>
                  </c:pt>
                  <c:pt idx="12">
                    <c:v>336846</c:v>
                  </c:pt>
                  <c:pt idx="13">
                    <c:v>320568</c:v>
                  </c:pt>
                  <c:pt idx="14">
                    <c:v>364109</c:v>
                  </c:pt>
                  <c:pt idx="15">
                    <c:v>378000</c:v>
                  </c:pt>
                  <c:pt idx="16">
                    <c:v>389248</c:v>
                  </c:pt>
                  <c:pt idx="17">
                    <c:v>375229</c:v>
                  </c:pt>
                  <c:pt idx="18">
                    <c:v>374983</c:v>
                  </c:pt>
                  <c:pt idx="19">
                    <c:v>360110</c:v>
                  </c:pt>
                  <c:pt idx="20">
                    <c:v>345944</c:v>
                  </c:pt>
                </c:lvl>
                <c:lvl>
                  <c:pt idx="0">
                    <c:v>2228.82</c:v>
                  </c:pt>
                  <c:pt idx="1">
                    <c:v>2558.21</c:v>
                  </c:pt>
                  <c:pt idx="2">
                    <c:v>2697.36</c:v>
                  </c:pt>
                  <c:pt idx="3">
                    <c:v>2783.11</c:v>
                  </c:pt>
                  <c:pt idx="4">
                    <c:v>2547.62</c:v>
                  </c:pt>
                  <c:pt idx="5">
                    <c:v>2610.92</c:v>
                  </c:pt>
                  <c:pt idx="6">
                    <c:v>2538.14</c:v>
                  </c:pt>
                  <c:pt idx="7">
                    <c:v>2632.99</c:v>
                  </c:pt>
                  <c:pt idx="8">
                    <c:v>2518.37</c:v>
                  </c:pt>
                  <c:pt idx="9">
                    <c:v>2475.05</c:v>
                  </c:pt>
                  <c:pt idx="10">
                    <c:v>2474.18</c:v>
                  </c:pt>
                  <c:pt idx="11">
                    <c:v>1894.38</c:v>
                  </c:pt>
                  <c:pt idx="12">
                    <c:v>2311.38</c:v>
                  </c:pt>
                  <c:pt idx="13">
                    <c:v>2349.01</c:v>
                  </c:pt>
                  <c:pt idx="14">
                    <c:v>2326.18</c:v>
                  </c:pt>
                  <c:pt idx="15">
                    <c:v>1836.69</c:v>
                  </c:pt>
                  <c:pt idx="16">
                    <c:v>2398.75</c:v>
                  </c:pt>
                  <c:pt idx="17">
                    <c:v>2428.06</c:v>
                  </c:pt>
                  <c:pt idx="18">
                    <c:v>2366.10</c:v>
                  </c:pt>
                  <c:pt idx="19">
                    <c:v>2398.32</c:v>
                  </c:pt>
                  <c:pt idx="20">
                    <c:v>2324.72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2199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1798</c:v>
                  </c:pt>
                  <c:pt idx="1">
                    <c:v>1904</c:v>
                  </c:pt>
                  <c:pt idx="2">
                    <c:v>2012</c:v>
                  </c:pt>
                  <c:pt idx="3">
                    <c:v>1995</c:v>
                  </c:pt>
                  <c:pt idx="4">
                    <c:v>1928</c:v>
                  </c:pt>
                  <c:pt idx="5">
                    <c:v>1968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1713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1781</c:v>
                  </c:pt>
                  <c:pt idx="14">
                    <c:v>1805</c:v>
                  </c:pt>
                  <c:pt idx="15">
                    <c:v>1539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1777</c:v>
                  </c:pt>
                  <c:pt idx="19">
                    <c:v>1802</c:v>
                  </c:pt>
                  <c:pt idx="20">
                    <c:v>1760</c:v>
                  </c:pt>
                </c:lvl>
                <c:lvl>
                  <c:pt idx="0">
                    <c:v>1732</c:v>
                  </c:pt>
                  <c:pt idx="1">
                    <c:v>1749</c:v>
                  </c:pt>
                  <c:pt idx="2">
                    <c:v>1860</c:v>
                  </c:pt>
                  <c:pt idx="3">
                    <c:v>1698</c:v>
                  </c:pt>
                  <c:pt idx="4">
                    <c:v>1725</c:v>
                  </c:pt>
                  <c:pt idx="5">
                    <c:v>1720</c:v>
                  </c:pt>
                  <c:pt idx="6">
                    <c:v>1693</c:v>
                  </c:pt>
                  <c:pt idx="7">
                    <c:v>1743</c:v>
                  </c:pt>
                  <c:pt idx="8">
                    <c:v>1625</c:v>
                  </c:pt>
                  <c:pt idx="9">
                    <c:v>1538</c:v>
                  </c:pt>
                  <c:pt idx="10">
                    <c:v>1778</c:v>
                  </c:pt>
                  <c:pt idx="11">
                    <c:v>1705</c:v>
                  </c:pt>
                  <c:pt idx="12">
                    <c:v>1774</c:v>
                  </c:pt>
                  <c:pt idx="13">
                    <c:v>1695</c:v>
                  </c:pt>
                  <c:pt idx="14">
                    <c:v>1692</c:v>
                  </c:pt>
                  <c:pt idx="15">
                    <c:v>1759</c:v>
                  </c:pt>
                  <c:pt idx="16">
                    <c:v>1629</c:v>
                  </c:pt>
                  <c:pt idx="17">
                    <c:v>1593</c:v>
                  </c:pt>
                  <c:pt idx="18">
                    <c:v>1532</c:v>
                  </c:pt>
                  <c:pt idx="19">
                    <c:v>1524</c:v>
                  </c:pt>
                  <c:pt idx="20">
                    <c:v>1498</c:v>
                  </c:pt>
                </c:lvl>
                <c:lvl>
                  <c:pt idx="0">
                    <c:v>945199</c:v>
                  </c:pt>
                  <c:pt idx="1">
                    <c:v>1014895</c:v>
                  </c:pt>
                  <c:pt idx="2">
                    <c:v>1143898</c:v>
                  </c:pt>
                  <c:pt idx="3">
                    <c:v>1142190</c:v>
                  </c:pt>
                  <c:pt idx="4">
                    <c:v>1080393</c:v>
                  </c:pt>
                  <c:pt idx="5">
                    <c:v>1071520</c:v>
                  </c:pt>
                  <c:pt idx="6">
                    <c:v>1076376</c:v>
                  </c:pt>
                  <c:pt idx="7">
                    <c:v>1116598</c:v>
                  </c:pt>
                  <c:pt idx="8">
                    <c:v>1033537</c:v>
                  </c:pt>
                  <c:pt idx="9">
                    <c:v>1049618</c:v>
                  </c:pt>
                  <c:pt idx="10">
                    <c:v>1015403</c:v>
                  </c:pt>
                  <c:pt idx="11">
                    <c:v>803368</c:v>
                  </c:pt>
                  <c:pt idx="12">
                    <c:v>980209</c:v>
                  </c:pt>
                  <c:pt idx="13">
                    <c:v>899765</c:v>
                  </c:pt>
                  <c:pt idx="14">
                    <c:v>986487</c:v>
                  </c:pt>
                  <c:pt idx="15">
                    <c:v>753777</c:v>
                  </c:pt>
                  <c:pt idx="16">
                    <c:v>1017260</c:v>
                  </c:pt>
                  <c:pt idx="17">
                    <c:v>996476</c:v>
                  </c:pt>
                  <c:pt idx="18">
                    <c:v>1003415</c:v>
                  </c:pt>
                  <c:pt idx="19">
                    <c:v>1017081</c:v>
                  </c:pt>
                  <c:pt idx="20">
                    <c:v>954067</c:v>
                  </c:pt>
                </c:lvl>
                <c:lvl>
                  <c:pt idx="0">
                    <c:v>141986</c:v>
                  </c:pt>
                  <c:pt idx="1">
                    <c:v>150228</c:v>
                  </c:pt>
                  <c:pt idx="2">
                    <c:v>160629</c:v>
                  </c:pt>
                  <c:pt idx="3">
                    <c:v>92039</c:v>
                  </c:pt>
                  <c:pt idx="4">
                    <c:v>73815</c:v>
                  </c:pt>
                  <c:pt idx="5">
                    <c:v>72019</c:v>
                  </c:pt>
                  <c:pt idx="6">
                    <c:v>78527</c:v>
                  </c:pt>
                  <c:pt idx="7">
                    <c:v>78101</c:v>
                  </c:pt>
                  <c:pt idx="8">
                    <c:v>69105</c:v>
                  </c:pt>
                  <c:pt idx="9">
                    <c:v>87420</c:v>
                  </c:pt>
                  <c:pt idx="10">
                    <c:v>149661</c:v>
                  </c:pt>
                  <c:pt idx="11">
                    <c:v>115374</c:v>
                  </c:pt>
                  <c:pt idx="12">
                    <c:v>150493</c:v>
                  </c:pt>
                  <c:pt idx="13">
                    <c:v>137541</c:v>
                  </c:pt>
                  <c:pt idx="14">
                    <c:v>145990</c:v>
                  </c:pt>
                  <c:pt idx="15">
                    <c:v>56501</c:v>
                  </c:pt>
                  <c:pt idx="16">
                    <c:v>71617</c:v>
                  </c:pt>
                  <c:pt idx="17">
                    <c:v>69202</c:v>
                  </c:pt>
                  <c:pt idx="18">
                    <c:v>73589</c:v>
                  </c:pt>
                  <c:pt idx="19">
                    <c:v>68684</c:v>
                  </c:pt>
                  <c:pt idx="20">
                    <c:v>67117</c:v>
                  </c:pt>
                </c:lvl>
                <c:lvl>
                  <c:pt idx="0">
                    <c:v>528463</c:v>
                  </c:pt>
                  <c:pt idx="1">
                    <c:v>560167</c:v>
                  </c:pt>
                  <c:pt idx="2">
                    <c:v>643769</c:v>
                  </c:pt>
                  <c:pt idx="3">
                    <c:v>712401</c:v>
                  </c:pt>
                  <c:pt idx="4">
                    <c:v>667425</c:v>
                  </c:pt>
                  <c:pt idx="5">
                    <c:v>663345</c:v>
                  </c:pt>
                  <c:pt idx="6">
                    <c:v>685539</c:v>
                  </c:pt>
                  <c:pt idx="7">
                    <c:v>706495</c:v>
                  </c:pt>
                  <c:pt idx="8">
                    <c:v>633961</c:v>
                  </c:pt>
                  <c:pt idx="9">
                    <c:v>640990</c:v>
                  </c:pt>
                  <c:pt idx="10">
                    <c:v>547998</c:v>
                  </c:pt>
                  <c:pt idx="11">
                    <c:v>421137</c:v>
                  </c:pt>
                  <c:pt idx="12">
                    <c:v>539148</c:v>
                  </c:pt>
                  <c:pt idx="13">
                    <c:v>480769</c:v>
                  </c:pt>
                  <c:pt idx="14">
                    <c:v>524576</c:v>
                  </c:pt>
                  <c:pt idx="15">
                    <c:v>467943</c:v>
                  </c:pt>
                  <c:pt idx="16">
                    <c:v>631629</c:v>
                  </c:pt>
                  <c:pt idx="17">
                    <c:v>617882</c:v>
                  </c:pt>
                  <c:pt idx="18">
                    <c:v>637645</c:v>
                  </c:pt>
                  <c:pt idx="19">
                    <c:v>636185</c:v>
                  </c:pt>
                  <c:pt idx="20">
                    <c:v>603860</c:v>
                  </c:pt>
                </c:lvl>
                <c:lvl>
                  <c:pt idx="0">
                    <c:v>274750</c:v>
                  </c:pt>
                  <c:pt idx="1">
                    <c:v>304500</c:v>
                  </c:pt>
                  <c:pt idx="2">
                    <c:v>339500</c:v>
                  </c:pt>
                  <c:pt idx="3">
                    <c:v>337750</c:v>
                  </c:pt>
                  <c:pt idx="4">
                    <c:v>339153</c:v>
                  </c:pt>
                  <c:pt idx="5">
                    <c:v>336156</c:v>
                  </c:pt>
                  <c:pt idx="6">
                    <c:v>312310</c:v>
                  </c:pt>
                  <c:pt idx="7">
                    <c:v>332002</c:v>
                  </c:pt>
                  <c:pt idx="8">
                    <c:v>330471</c:v>
                  </c:pt>
                  <c:pt idx="9">
                    <c:v>321208</c:v>
                  </c:pt>
                  <c:pt idx="10">
                    <c:v>317744</c:v>
                  </c:pt>
                  <c:pt idx="11">
                    <c:v>266857</c:v>
                  </c:pt>
                  <c:pt idx="12">
                    <c:v>290568</c:v>
                  </c:pt>
                  <c:pt idx="13">
                    <c:v>281455</c:v>
                  </c:pt>
                  <c:pt idx="14">
                    <c:v>315921</c:v>
                  </c:pt>
                  <c:pt idx="15">
                    <c:v>229333</c:v>
                  </c:pt>
                  <c:pt idx="16">
                    <c:v>314014</c:v>
                  </c:pt>
                  <c:pt idx="17">
                    <c:v>309392</c:v>
                  </c:pt>
                  <c:pt idx="18">
                    <c:v>292181</c:v>
                  </c:pt>
                  <c:pt idx="19">
                    <c:v>312212</c:v>
                  </c:pt>
                  <c:pt idx="20">
                    <c:v>283090</c:v>
                  </c:pt>
                </c:lvl>
                <c:lvl>
                  <c:pt idx="0">
                    <c:v>31</c:v>
                  </c:pt>
                  <c:pt idx="1">
                    <c:v>29</c:v>
                  </c:pt>
                  <c:pt idx="2">
                    <c:v>31</c:v>
                  </c:pt>
                  <c:pt idx="3">
                    <c:v>30</c:v>
                  </c:pt>
                  <c:pt idx="4">
                    <c:v>31</c:v>
                  </c:pt>
                  <c:pt idx="5">
                    <c:v>30</c:v>
                  </c:pt>
                  <c:pt idx="6">
                    <c:v>31</c:v>
                  </c:pt>
                  <c:pt idx="7">
                    <c:v>31</c:v>
                  </c:pt>
                  <c:pt idx="8">
                    <c:v>30</c:v>
                  </c:pt>
                  <c:pt idx="9">
                    <c:v>31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31</c:v>
                  </c:pt>
                  <c:pt idx="13">
                    <c:v>28</c:v>
                  </c:pt>
                  <c:pt idx="14">
                    <c:v>31</c:v>
                  </c:pt>
                  <c:pt idx="15">
                    <c:v>30</c:v>
                  </c:pt>
                  <c:pt idx="16">
                    <c:v>31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31</c:v>
                  </c:pt>
                  <c:pt idx="20">
                    <c:v>30</c:v>
                  </c:pt>
                </c:lvl>
                <c:lvl>
                  <c:pt idx="0">
                    <c:v>31/01/2024</c:v>
                  </c:pt>
                  <c:pt idx="1">
                    <c:v>29/02/2024</c:v>
                  </c:pt>
                  <c:pt idx="2">
                    <c:v>31/03/2024</c:v>
                  </c:pt>
                  <c:pt idx="3">
                    <c:v>30/04/2024</c:v>
                  </c:pt>
                  <c:pt idx="4">
                    <c:v>31/05/2024</c:v>
                  </c:pt>
                  <c:pt idx="5">
                    <c:v>30/06/2024</c:v>
                  </c:pt>
                  <c:pt idx="6">
                    <c:v>31/07/2024</c:v>
                  </c:pt>
                  <c:pt idx="7">
                    <c:v>31/08/2024</c:v>
                  </c:pt>
                  <c:pt idx="8">
                    <c:v>30/09/2024</c:v>
                  </c:pt>
                  <c:pt idx="9">
                    <c:v>31/10/2024</c:v>
                  </c:pt>
                  <c:pt idx="10">
                    <c:v>30/11/2024</c:v>
                  </c:pt>
                  <c:pt idx="11">
                    <c:v>31/12/2024</c:v>
                  </c:pt>
                  <c:pt idx="12">
                    <c:v>31/01/2025</c:v>
                  </c:pt>
                  <c:pt idx="13">
                    <c:v>28/02/2025</c:v>
                  </c:pt>
                  <c:pt idx="14">
                    <c:v>31/03/2025</c:v>
                  </c:pt>
                  <c:pt idx="15">
                    <c:v>30/04/2025</c:v>
                  </c:pt>
                  <c:pt idx="16">
                    <c:v>31/05/2025</c:v>
                  </c:pt>
                  <c:pt idx="17">
                    <c:v>30/06/2025</c:v>
                  </c:pt>
                  <c:pt idx="18">
                    <c:v>31/07/2025</c:v>
                  </c:pt>
                  <c:pt idx="19">
                    <c:v>31/08/2025</c:v>
                  </c:pt>
                  <c:pt idx="20">
                    <c:v>30/09/2025</c:v>
                  </c:pt>
                </c:lvl>
              </c:multiLvlStrCache>
            </c:multiLvlStrRef>
          </c:cat>
          <c:val>
            <c:numRef>
              <c:f>Hoja1!$AN$3:$AN$23</c:f>
              <c:numCache>
                <c:formatCode>General</c:formatCode>
                <c:ptCount val="21"/>
                <c:pt idx="0">
                  <c:v>52</c:v>
                </c:pt>
                <c:pt idx="1">
                  <c:v>52</c:v>
                </c:pt>
                <c:pt idx="2">
                  <c:v>65</c:v>
                </c:pt>
                <c:pt idx="3">
                  <c:v>49</c:v>
                </c:pt>
                <c:pt idx="4">
                  <c:v>48</c:v>
                </c:pt>
                <c:pt idx="5">
                  <c:v>60</c:v>
                </c:pt>
                <c:pt idx="6">
                  <c:v>48</c:v>
                </c:pt>
                <c:pt idx="7">
                  <c:v>48</c:v>
                </c:pt>
                <c:pt idx="8">
                  <c:v>60</c:v>
                </c:pt>
                <c:pt idx="9">
                  <c:v>48</c:v>
                </c:pt>
                <c:pt idx="10">
                  <c:v>53</c:v>
                </c:pt>
                <c:pt idx="11">
                  <c:v>64</c:v>
                </c:pt>
                <c:pt idx="12">
                  <c:v>52</c:v>
                </c:pt>
                <c:pt idx="13">
                  <c:v>52</c:v>
                </c:pt>
                <c:pt idx="14">
                  <c:v>65</c:v>
                </c:pt>
                <c:pt idx="15">
                  <c:v>49</c:v>
                </c:pt>
                <c:pt idx="16">
                  <c:v>48</c:v>
                </c:pt>
                <c:pt idx="17">
                  <c:v>60</c:v>
                </c:pt>
                <c:pt idx="18">
                  <c:v>48</c:v>
                </c:pt>
                <c:pt idx="19">
                  <c:v>48</c:v>
                </c:pt>
                <c:pt idx="2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DB-4C5A-9BB5-44A0BCD50CF4}"/>
            </c:ext>
          </c:extLst>
        </c:ser>
        <c:ser>
          <c:idx val="4"/>
          <c:order val="5"/>
          <c:tx>
            <c:strRef>
              <c:f>Hoja1!$AO$2</c:f>
              <c:strCache>
                <c:ptCount val="1"/>
                <c:pt idx="0">
                  <c:v>HORAS INTERMEDIA SOLARES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Hoja1!$B$3:$AJ$23</c:f>
              <c:multiLvlStrCache>
                <c:ptCount val="21"/>
                <c:lvl>
                  <c:pt idx="7">
                    <c:v>NET MET </c:v>
                  </c:pt>
                  <c:pt idx="8">
                    <c:v>NET MET </c:v>
                  </c:pt>
                  <c:pt idx="9">
                    <c:v>NET MET </c:v>
                  </c:pt>
                  <c:pt idx="10">
                    <c:v>NET MET </c:v>
                  </c:pt>
                  <c:pt idx="11">
                    <c:v>NET MET </c:v>
                  </c:pt>
                  <c:pt idx="12">
                    <c:v>NET MET </c:v>
                  </c:pt>
                  <c:pt idx="13">
                    <c:v>NET MET </c:v>
                  </c:pt>
                  <c:pt idx="14">
                    <c:v>NET MET </c:v>
                  </c:pt>
                  <c:pt idx="15">
                    <c:v>NET MET </c:v>
                  </c:pt>
                  <c:pt idx="16">
                    <c:v>NET MET </c:v>
                  </c:pt>
                  <c:pt idx="17">
                    <c:v>NET MET </c:v>
                  </c:pt>
                  <c:pt idx="18">
                    <c:v>NET MET </c:v>
                  </c:pt>
                  <c:pt idx="19">
                    <c:v>NET MET </c:v>
                  </c:pt>
                  <c:pt idx="20">
                    <c:v>NET MET </c:v>
                  </c:pt>
                </c:lvl>
                <c:lvl>
                  <c:pt idx="0">
                    <c:v>$3,139,386.73</c:v>
                  </c:pt>
                  <c:pt idx="1">
                    <c:v>$3,382,391.85</c:v>
                  </c:pt>
                  <c:pt idx="2">
                    <c:v>$3,654,425.48</c:v>
                  </c:pt>
                  <c:pt idx="3">
                    <c:v>$2,667,773.08</c:v>
                  </c:pt>
                  <c:pt idx="4">
                    <c:v>$3,539,097.01</c:v>
                  </c:pt>
                  <c:pt idx="5">
                    <c:v>$3,535,459.65</c:v>
                  </c:pt>
                  <c:pt idx="6">
                    <c:v>$3,611,655.71</c:v>
                  </c:pt>
                  <c:pt idx="7">
                    <c:v>$3,721,605.57</c:v>
                  </c:pt>
                  <c:pt idx="8">
                    <c:v>$3,470,852.69</c:v>
                  </c:pt>
                  <c:pt idx="9">
                    <c:v>$3,505,262.83</c:v>
                  </c:pt>
                  <c:pt idx="10">
                    <c:v>$3,423,297.38</c:v>
                  </c:pt>
                  <c:pt idx="11">
                    <c:v>$2,879,446.80</c:v>
                  </c:pt>
                  <c:pt idx="12">
                    <c:v>$3,326,870.11</c:v>
                  </c:pt>
                  <c:pt idx="13">
                    <c:v>$3,159,111.38</c:v>
                  </c:pt>
                  <c:pt idx="14">
                    <c:v>$3,360,342.25</c:v>
                  </c:pt>
                  <c:pt idx="15">
                    <c:v>$3,159,586.64</c:v>
                  </c:pt>
                  <c:pt idx="16">
                    <c:v>$3,435,152.63</c:v>
                  </c:pt>
                  <c:pt idx="17">
                    <c:v>$3,469,952.56</c:v>
                  </c:pt>
                  <c:pt idx="18">
                    <c:v>$3,528,886.77</c:v>
                  </c:pt>
                  <c:pt idx="19">
                    <c:v>$3,506,402.47</c:v>
                  </c:pt>
                  <c:pt idx="20">
                    <c:v>$3,145,778.60</c:v>
                  </c:pt>
                </c:lvl>
                <c:lvl>
                  <c:pt idx="0">
                    <c:v>$3,139,385.89</c:v>
                  </c:pt>
                  <c:pt idx="1">
                    <c:v>$3,382,391.13</c:v>
                  </c:pt>
                  <c:pt idx="2">
                    <c:v>$3,654,424.63</c:v>
                  </c:pt>
                  <c:pt idx="3">
                    <c:v>$2,728,638.96</c:v>
                  </c:pt>
                  <c:pt idx="4">
                    <c:v>$3,539,096.92</c:v>
                  </c:pt>
                  <c:pt idx="5">
                    <c:v>$3,535,459.64</c:v>
                  </c:pt>
                  <c:pt idx="6">
                    <c:v>$3,611,655.06</c:v>
                  </c:pt>
                  <c:pt idx="7">
                    <c:v>$3,721,604.85</c:v>
                  </c:pt>
                  <c:pt idx="8">
                    <c:v>$3,470,852.11</c:v>
                  </c:pt>
                  <c:pt idx="9">
                    <c:v>$3,458,352.78</c:v>
                  </c:pt>
                  <c:pt idx="10">
                    <c:v>$3,423,296.55</c:v>
                  </c:pt>
                  <c:pt idx="11">
                    <c:v>$2,879,446.43</c:v>
                  </c:pt>
                  <c:pt idx="12">
                    <c:v>$3,326,869.33</c:v>
                  </c:pt>
                  <c:pt idx="13">
                    <c:v>$3,159,111.26</c:v>
                  </c:pt>
                  <c:pt idx="14">
                    <c:v>$3,360,341.87</c:v>
                  </c:pt>
                  <c:pt idx="15">
                    <c:v>$2,855,734.72</c:v>
                  </c:pt>
                  <c:pt idx="16">
                    <c:v>$3,435,151.97</c:v>
                  </c:pt>
                  <c:pt idx="17">
                    <c:v>$3,469,951.94</c:v>
                  </c:pt>
                  <c:pt idx="18">
                    <c:v>$3,528,886.22</c:v>
                  </c:pt>
                  <c:pt idx="19">
                    <c:v>$3,506,401.69</c:v>
                  </c:pt>
                  <c:pt idx="20">
                    <c:v>$3,362,728.34</c:v>
                  </c:pt>
                </c:lvl>
                <c:lvl>
                  <c:pt idx="0">
                    <c:v>$202,541.03</c:v>
                  </c:pt>
                  <c:pt idx="1">
                    <c:v>$218,218.78</c:v>
                  </c:pt>
                  <c:pt idx="2">
                    <c:v>$235,769.33</c:v>
                  </c:pt>
                  <c:pt idx="3">
                    <c:v>$176,041.22</c:v>
                  </c:pt>
                  <c:pt idx="4">
                    <c:v>$228,328.83</c:v>
                  </c:pt>
                  <c:pt idx="5">
                    <c:v>$228,094.17</c:v>
                  </c:pt>
                  <c:pt idx="6">
                    <c:v>$233,010.00</c:v>
                  </c:pt>
                  <c:pt idx="7">
                    <c:v>$240,103.54</c:v>
                  </c:pt>
                  <c:pt idx="8">
                    <c:v>$223,925.94</c:v>
                  </c:pt>
                  <c:pt idx="9">
                    <c:v>$223,119.53</c:v>
                  </c:pt>
                  <c:pt idx="10">
                    <c:v>$220,857.84</c:v>
                  </c:pt>
                  <c:pt idx="11">
                    <c:v>$185,770.74</c:v>
                  </c:pt>
                  <c:pt idx="12">
                    <c:v>$214,636.73</c:v>
                  </c:pt>
                  <c:pt idx="13">
                    <c:v>$203,813.63</c:v>
                  </c:pt>
                  <c:pt idx="14">
                    <c:v>$216,796.25</c:v>
                  </c:pt>
                  <c:pt idx="15">
                    <c:v>$184,240.95</c:v>
                  </c:pt>
                  <c:pt idx="16">
                    <c:v>$221,622.71</c:v>
                  </c:pt>
                  <c:pt idx="17">
                    <c:v>$223,867.87</c:v>
                  </c:pt>
                  <c:pt idx="18">
                    <c:v>$227,670.08</c:v>
                  </c:pt>
                  <c:pt idx="19">
                    <c:v>$226,219.46</c:v>
                  </c:pt>
                  <c:pt idx="20">
                    <c:v>$216,950.22</c:v>
                  </c:pt>
                </c:lvl>
                <c:lvl>
                  <c:pt idx="0">
                    <c:v>$405,082.05</c:v>
                  </c:pt>
                  <c:pt idx="1">
                    <c:v>$436,437.57</c:v>
                  </c:pt>
                  <c:pt idx="2">
                    <c:v>$471,538.66</c:v>
                  </c:pt>
                  <c:pt idx="3">
                    <c:v>$352,082.45</c:v>
                  </c:pt>
                  <c:pt idx="4">
                    <c:v>$456,657.67</c:v>
                  </c:pt>
                  <c:pt idx="5">
                    <c:v>$456,188.34</c:v>
                  </c:pt>
                  <c:pt idx="6">
                    <c:v>$466,020.01</c:v>
                  </c:pt>
                  <c:pt idx="7">
                    <c:v>$480,207.08</c:v>
                  </c:pt>
                  <c:pt idx="8">
                    <c:v>$447,851.89</c:v>
                  </c:pt>
                  <c:pt idx="9">
                    <c:v>$446,239.07</c:v>
                  </c:pt>
                  <c:pt idx="10">
                    <c:v>$441,715.68</c:v>
                  </c:pt>
                  <c:pt idx="11">
                    <c:v>$371,541.47</c:v>
                  </c:pt>
                  <c:pt idx="12">
                    <c:v>$429,273.46</c:v>
                  </c:pt>
                  <c:pt idx="13">
                    <c:v>$407,627.26</c:v>
                  </c:pt>
                  <c:pt idx="14">
                    <c:v>$433,592.50</c:v>
                  </c:pt>
                  <c:pt idx="15">
                    <c:v>$368,481.90</c:v>
                  </c:pt>
                  <c:pt idx="16">
                    <c:v>$443,245.42</c:v>
                  </c:pt>
                  <c:pt idx="17">
                    <c:v>$447,735.73</c:v>
                  </c:pt>
                  <c:pt idx="18">
                    <c:v>$455,340.16</c:v>
                  </c:pt>
                  <c:pt idx="19">
                    <c:v>$452,438.93</c:v>
                  </c:pt>
                  <c:pt idx="20">
                    <c:v>$433,900.43</c:v>
                  </c:pt>
                </c:lvl>
                <c:lvl>
                  <c:pt idx="0">
                    <c:v>$2,531,762.82</c:v>
                  </c:pt>
                  <c:pt idx="1">
                    <c:v>$2,727,734.78</c:v>
                  </c:pt>
                  <c:pt idx="2">
                    <c:v>$2,947,116.63</c:v>
                  </c:pt>
                  <c:pt idx="3">
                    <c:v>$2,200,515.29</c:v>
                  </c:pt>
                  <c:pt idx="4">
                    <c:v>$2,854,110.42</c:v>
                  </c:pt>
                  <c:pt idx="5">
                    <c:v>$2,851,177.13</c:v>
                  </c:pt>
                  <c:pt idx="6">
                    <c:v>$2,912,625.05</c:v>
                  </c:pt>
                  <c:pt idx="7">
                    <c:v>$3,001,294.23</c:v>
                  </c:pt>
                  <c:pt idx="8">
                    <c:v>$2,799,074.29</c:v>
                  </c:pt>
                  <c:pt idx="9">
                    <c:v>$2,788,994.18</c:v>
                  </c:pt>
                  <c:pt idx="10">
                    <c:v>$2,760,723.02</c:v>
                  </c:pt>
                  <c:pt idx="11">
                    <c:v>$2,322,134.22</c:v>
                  </c:pt>
                  <c:pt idx="12">
                    <c:v>$2,682,959.14</c:v>
                  </c:pt>
                  <c:pt idx="13">
                    <c:v>$2,547,670.37</c:v>
                  </c:pt>
                  <c:pt idx="14">
                    <c:v>$2,709,953.12</c:v>
                  </c:pt>
                  <c:pt idx="15">
                    <c:v>$2,303,011.87</c:v>
                  </c:pt>
                  <c:pt idx="16">
                    <c:v>$2,770,283.84</c:v>
                  </c:pt>
                  <c:pt idx="17">
                    <c:v>$2,798,348.34</c:v>
                  </c:pt>
                  <c:pt idx="18">
                    <c:v>$2,845,875.98</c:v>
                  </c:pt>
                  <c:pt idx="19">
                    <c:v>$2,827,743.30</c:v>
                  </c:pt>
                  <c:pt idx="20">
                    <c:v>$2,711,877.70</c:v>
                  </c:pt>
                </c:lvl>
                <c:lvl>
                  <c:pt idx="0">
                    <c:v>$7,572.57</c:v>
                  </c:pt>
                  <c:pt idx="1">
                    <c:v>$13,570.82</c:v>
                  </c:pt>
                  <c:pt idx="2">
                    <c:v>$14,662.27</c:v>
                  </c:pt>
                  <c:pt idx="3">
                    <c:v>$0.00</c:v>
                  </c:pt>
                  <c:pt idx="4">
                    <c:v>$33,843.21</c:v>
                  </c:pt>
                  <c:pt idx="5">
                    <c:v>$33,808.42</c:v>
                  </c:pt>
                  <c:pt idx="6">
                    <c:v>$28,837.87</c:v>
                  </c:pt>
                  <c:pt idx="7">
                    <c:v>$26,770.71</c:v>
                  </c:pt>
                  <c:pt idx="8">
                    <c:v>$22,214.88</c:v>
                  </c:pt>
                  <c:pt idx="9">
                    <c:v>$16,634.16</c:v>
                  </c:pt>
                  <c:pt idx="10">
                    <c:v>$13,734.94</c:v>
                  </c:pt>
                  <c:pt idx="11">
                    <c:v>$9,251.53</c:v>
                  </c:pt>
                  <c:pt idx="12">
                    <c:v>$8,024.80</c:v>
                  </c:pt>
                  <c:pt idx="13">
                    <c:v>$12,674.98</c:v>
                  </c:pt>
                  <c:pt idx="14">
                    <c:v>$21,507.56</c:v>
                  </c:pt>
                  <c:pt idx="15">
                    <c:v>$27,308.44</c:v>
                  </c:pt>
                  <c:pt idx="16">
                    <c:v>$27,428.55</c:v>
                  </c:pt>
                  <c:pt idx="17">
                    <c:v>$24,960.49</c:v>
                  </c:pt>
                  <c:pt idx="18">
                    <c:v>$25,384.42</c:v>
                  </c:pt>
                  <c:pt idx="19">
                    <c:v>$14,068.37</c:v>
                  </c:pt>
                  <c:pt idx="20">
                    <c:v>$16,174.22</c:v>
                  </c:pt>
                </c:lvl>
                <c:lvl>
                  <c:pt idx="0">
                    <c:v>0.30%</c:v>
                  </c:pt>
                  <c:pt idx="1">
                    <c:v>0.50%</c:v>
                  </c:pt>
                  <c:pt idx="2">
                    <c:v>0.50%</c:v>
                  </c:pt>
                  <c:pt idx="3">
                    <c:v>0.00%</c:v>
                  </c:pt>
                  <c:pt idx="4">
                    <c:v>1.20%</c:v>
                  </c:pt>
                  <c:pt idx="5">
                    <c:v>1.20%</c:v>
                  </c:pt>
                  <c:pt idx="6">
                    <c:v>1.00%</c:v>
                  </c:pt>
                  <c:pt idx="7">
                    <c:v>0.90%</c:v>
                  </c:pt>
                  <c:pt idx="8">
                    <c:v>0.80%</c:v>
                  </c:pt>
                  <c:pt idx="9">
                    <c:v>0.60%</c:v>
                  </c:pt>
                  <c:pt idx="10">
                    <c:v>0.50%</c:v>
                  </c:pt>
                  <c:pt idx="11">
                    <c:v>0.40%</c:v>
                  </c:pt>
                  <c:pt idx="12">
                    <c:v>0.30%</c:v>
                  </c:pt>
                  <c:pt idx="13">
                    <c:v>0.50%</c:v>
                  </c:pt>
                  <c:pt idx="14">
                    <c:v>0.80%</c:v>
                  </c:pt>
                  <c:pt idx="15">
                    <c:v>1.20%</c:v>
                  </c:pt>
                  <c:pt idx="16">
                    <c:v>1.00%</c:v>
                  </c:pt>
                  <c:pt idx="17">
                    <c:v>0.90%</c:v>
                  </c:pt>
                  <c:pt idx="18">
                    <c:v>0.90%</c:v>
                  </c:pt>
                  <c:pt idx="19">
                    <c:v>0.50%</c:v>
                  </c:pt>
                  <c:pt idx="20">
                    <c:v>0.60%</c:v>
                  </c:pt>
                </c:lvl>
                <c:lvl>
                  <c:pt idx="0">
                    <c:v>$2,523,827.65</c:v>
                  </c:pt>
                  <c:pt idx="1">
                    <c:v>$2,713,801.36</c:v>
                  </c:pt>
                  <c:pt idx="2">
                    <c:v>$2,932,091.76</c:v>
                  </c:pt>
                  <c:pt idx="3">
                    <c:v>$2,200,152.69</c:v>
                  </c:pt>
                  <c:pt idx="4">
                    <c:v>$2,819,904.61</c:v>
                  </c:pt>
                  <c:pt idx="5">
                    <c:v>$2,817,006.11</c:v>
                  </c:pt>
                  <c:pt idx="6">
                    <c:v>$2,883,424.57</c:v>
                  </c:pt>
                  <c:pt idx="7">
                    <c:v>$2,974,160.92</c:v>
                  </c:pt>
                  <c:pt idx="8">
                    <c:v>$2,776,496.81</c:v>
                  </c:pt>
                  <c:pt idx="9">
                    <c:v>$2,771,997.42</c:v>
                  </c:pt>
                  <c:pt idx="10">
                    <c:v>$2,746,625.48</c:v>
                  </c:pt>
                  <c:pt idx="11">
                    <c:v>$2,312,520.09</c:v>
                  </c:pt>
                  <c:pt idx="12">
                    <c:v>$2,674,565.39</c:v>
                  </c:pt>
                  <c:pt idx="13">
                    <c:v>$2,534,626.44</c:v>
                  </c:pt>
                  <c:pt idx="14">
                    <c:v>$2,688,076.61</c:v>
                  </c:pt>
                  <c:pt idx="15">
                    <c:v>$2,275,334.48</c:v>
                  </c:pt>
                  <c:pt idx="16">
                    <c:v>$2,742,486.34</c:v>
                  </c:pt>
                  <c:pt idx="17">
                    <c:v>$2,773,018.90</c:v>
                  </c:pt>
                  <c:pt idx="18">
                    <c:v>$2,820,122.61</c:v>
                  </c:pt>
                  <c:pt idx="19">
                    <c:v>$2,813,305.98</c:v>
                  </c:pt>
                  <c:pt idx="20">
                    <c:v>$2,695,334.53</c:v>
                  </c:pt>
                </c:lvl>
                <c:lvl>
                  <c:pt idx="0">
                    <c:v>$727,905.75</c:v>
                  </c:pt>
                  <c:pt idx="1">
                    <c:v>$785,361.39</c:v>
                  </c:pt>
                  <c:pt idx="2">
                    <c:v>$754,425.62</c:v>
                  </c:pt>
                  <c:pt idx="3">
                    <c:v>$42,889.35</c:v>
                  </c:pt>
                  <c:pt idx="4">
                    <c:v>$795,291.09</c:v>
                  </c:pt>
                  <c:pt idx="5">
                    <c:v>$805,094.37</c:v>
                  </c:pt>
                  <c:pt idx="6">
                    <c:v>$799,718.08</c:v>
                  </c:pt>
                  <c:pt idx="7">
                    <c:v>$811,328.05</c:v>
                  </c:pt>
                  <c:pt idx="8">
                    <c:v>$787,216.02</c:v>
                  </c:pt>
                  <c:pt idx="9">
                    <c:v>$738,932.80</c:v>
                  </c:pt>
                  <c:pt idx="10">
                    <c:v>$765,607.83</c:v>
                  </c:pt>
                  <c:pt idx="11">
                    <c:v>$737,018.47</c:v>
                  </c:pt>
                  <c:pt idx="12">
                    <c:v>$738,819.38</c:v>
                  </c:pt>
                  <c:pt idx="13">
                    <c:v>$758,989.74</c:v>
                  </c:pt>
                  <c:pt idx="14">
                    <c:v>$764,803.41</c:v>
                  </c:pt>
                  <c:pt idx="15">
                    <c:v>$764,381.10</c:v>
                  </c:pt>
                  <c:pt idx="16">
                    <c:v>$772,827.30</c:v>
                  </c:pt>
                  <c:pt idx="17">
                    <c:v>$803,720.06</c:v>
                  </c:pt>
                  <c:pt idx="18">
                    <c:v>$799,530.04</c:v>
                  </c:pt>
                  <c:pt idx="19">
                    <c:v>$783,943.12</c:v>
                  </c:pt>
                  <c:pt idx="20">
                    <c:v>$781,560.95</c:v>
                  </c:pt>
                </c:lvl>
                <c:lvl>
                  <c:pt idx="0">
                    <c:v>$184,676.25</c:v>
                  </c:pt>
                  <c:pt idx="1">
                    <c:v>$198,107.25</c:v>
                  </c:pt>
                  <c:pt idx="2">
                    <c:v>$204,721.00</c:v>
                  </c:pt>
                  <c:pt idx="3">
                    <c:v>$204,721.00</c:v>
                  </c:pt>
                  <c:pt idx="4">
                    <c:v>$198,107.25</c:v>
                  </c:pt>
                  <c:pt idx="5">
                    <c:v>$200,549.25</c:v>
                  </c:pt>
                  <c:pt idx="6">
                    <c:v>$194,444.25</c:v>
                  </c:pt>
                  <c:pt idx="7">
                    <c:v>$195,868.75</c:v>
                  </c:pt>
                  <c:pt idx="8">
                    <c:v>$189,967.25</c:v>
                  </c:pt>
                  <c:pt idx="9">
                    <c:v>$188,034.00</c:v>
                  </c:pt>
                  <c:pt idx="10">
                    <c:v>$184,065.75</c:v>
                  </c:pt>
                  <c:pt idx="11">
                    <c:v>$189,255.00</c:v>
                  </c:pt>
                  <c:pt idx="12">
                    <c:v>$189,404.80</c:v>
                  </c:pt>
                  <c:pt idx="13">
                    <c:v>$183,485.90</c:v>
                  </c:pt>
                  <c:pt idx="14">
                    <c:v>$184,812.55</c:v>
                  </c:pt>
                  <c:pt idx="15">
                    <c:v>$187,434.07</c:v>
                  </c:pt>
                  <c:pt idx="16">
                    <c:v>$188,792.50</c:v>
                  </c:pt>
                  <c:pt idx="17">
                    <c:v>$189,915.05</c:v>
                  </c:pt>
                  <c:pt idx="18">
                    <c:v>$185,935.10</c:v>
                  </c:pt>
                  <c:pt idx="19">
                    <c:v>$183,894.10</c:v>
                  </c:pt>
                  <c:pt idx="20">
                    <c:v>$183,179.75</c:v>
                  </c:pt>
                </c:lvl>
                <c:lvl>
                  <c:pt idx="0">
                    <c:v>$308,847.95</c:v>
                  </c:pt>
                  <c:pt idx="1">
                    <c:v>$328,503.57</c:v>
                  </c:pt>
                  <c:pt idx="2">
                    <c:v>$355,295.29</c:v>
                  </c:pt>
                  <c:pt idx="3">
                    <c:v>$203,590.27</c:v>
                  </c:pt>
                  <c:pt idx="4">
                    <c:v>$163,278.78</c:v>
                  </c:pt>
                  <c:pt idx="5">
                    <c:v>$159,306.03</c:v>
                  </c:pt>
                  <c:pt idx="6">
                    <c:v>$178,193.47</c:v>
                  </c:pt>
                  <c:pt idx="7">
                    <c:v>$178,632.61</c:v>
                  </c:pt>
                  <c:pt idx="8">
                    <c:v>$158,063.87</c:v>
                  </c:pt>
                  <c:pt idx="9">
                    <c:v>$199,964.51</c:v>
                  </c:pt>
                  <c:pt idx="10">
                    <c:v>$342,319.61</c:v>
                  </c:pt>
                  <c:pt idx="11">
                    <c:v>$259,868.40</c:v>
                  </c:pt>
                  <c:pt idx="12">
                    <c:v>$343,169.19</c:v>
                  </c:pt>
                  <c:pt idx="13">
                    <c:v>$314,088.63</c:v>
                  </c:pt>
                  <c:pt idx="14">
                    <c:v>$333,514.16</c:v>
                  </c:pt>
                  <c:pt idx="15">
                    <c:v>$129,076.53</c:v>
                  </c:pt>
                  <c:pt idx="16">
                    <c:v>$163,609.04</c:v>
                  </c:pt>
                  <c:pt idx="17">
                    <c:v>$161,531.31</c:v>
                  </c:pt>
                  <c:pt idx="18">
                    <c:v>$174,133.65</c:v>
                  </c:pt>
                  <c:pt idx="19">
                    <c:v>$162,733.00</c:v>
                  </c:pt>
                  <c:pt idx="20">
                    <c:v>$157,959.86</c:v>
                  </c:pt>
                </c:lvl>
                <c:lvl>
                  <c:pt idx="0">
                    <c:v>$1,008,360.25</c:v>
                  </c:pt>
                  <c:pt idx="1">
                    <c:v>$1,074,400.31</c:v>
                  </c:pt>
                  <c:pt idx="2">
                    <c:v>$1,248,783.11</c:v>
                  </c:pt>
                  <c:pt idx="3">
                    <c:v>$1,381,986.70</c:v>
                  </c:pt>
                  <c:pt idx="4">
                    <c:v>$1,294,737.76</c:v>
                  </c:pt>
                  <c:pt idx="5">
                    <c:v>$1,286,822.97</c:v>
                  </c:pt>
                  <c:pt idx="6">
                    <c:v>$1,363,811.29</c:v>
                  </c:pt>
                  <c:pt idx="7">
                    <c:v>$1,416,522.48</c:v>
                  </c:pt>
                  <c:pt idx="8">
                    <c:v>$1,271,155.20</c:v>
                  </c:pt>
                  <c:pt idx="9">
                    <c:v>$1,285,313.15</c:v>
                  </c:pt>
                  <c:pt idx="10">
                    <c:v>$1,098,790.79</c:v>
                  </c:pt>
                  <c:pt idx="11">
                    <c:v>$831,661.35</c:v>
                  </c:pt>
                  <c:pt idx="12">
                    <c:v>$1,078,026.43</c:v>
                  </c:pt>
                  <c:pt idx="13">
                    <c:v>$962,691.85</c:v>
                  </c:pt>
                  <c:pt idx="14">
                    <c:v>$1,050,830.64</c:v>
                  </c:pt>
                  <c:pt idx="15">
                    <c:v>$937,383.42</c:v>
                  </c:pt>
                  <c:pt idx="16">
                    <c:v>$1,265,279.21</c:v>
                  </c:pt>
                  <c:pt idx="17">
                    <c:v>$1,264,248.36</c:v>
                  </c:pt>
                  <c:pt idx="18">
                    <c:v>$1,322,411.97</c:v>
                  </c:pt>
                  <c:pt idx="19">
                    <c:v>$1,321,038.15</c:v>
                  </c:pt>
                  <c:pt idx="20">
                    <c:v>$1,246,004.72</c:v>
                  </c:pt>
                </c:lvl>
                <c:lvl>
                  <c:pt idx="0">
                    <c:v>$294,037.45</c:v>
                  </c:pt>
                  <c:pt idx="1">
                    <c:v>$327,428.85</c:v>
                  </c:pt>
                  <c:pt idx="2">
                    <c:v>$368,866.75</c:v>
                  </c:pt>
                  <c:pt idx="3">
                    <c:v>$366,965.38</c:v>
                  </c:pt>
                  <c:pt idx="4">
                    <c:v>$368,489.73</c:v>
                  </c:pt>
                  <c:pt idx="5">
                    <c:v>$365,233.49</c:v>
                  </c:pt>
                  <c:pt idx="6">
                    <c:v>$347,257.49</c:v>
                  </c:pt>
                  <c:pt idx="7">
                    <c:v>$371,809.04</c:v>
                  </c:pt>
                  <c:pt idx="8">
                    <c:v>$370,094.47</c:v>
                  </c:pt>
                  <c:pt idx="9">
                    <c:v>$359,752.96</c:v>
                  </c:pt>
                  <c:pt idx="10">
                    <c:v>$355,841.51</c:v>
                  </c:pt>
                  <c:pt idx="11">
                    <c:v>$294,716.87</c:v>
                  </c:pt>
                  <c:pt idx="12">
                    <c:v>$325,145.59</c:v>
                  </c:pt>
                  <c:pt idx="13">
                    <c:v>$315,370.33</c:v>
                  </c:pt>
                  <c:pt idx="14">
                    <c:v>$354,115.85</c:v>
                  </c:pt>
                  <c:pt idx="15">
                    <c:v>$257,059.36</c:v>
                  </c:pt>
                  <c:pt idx="16">
                    <c:v>$351,978.29</c:v>
                  </c:pt>
                  <c:pt idx="17">
                    <c:v>$353,604.12</c:v>
                  </c:pt>
                  <c:pt idx="18">
                    <c:v>$338,111.85</c:v>
                  </c:pt>
                  <c:pt idx="19">
                    <c:v>$361,697.60</c:v>
                  </c:pt>
                  <c:pt idx="20">
                    <c:v>$326,629.24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1836.688596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$401.05</c:v>
                  </c:pt>
                  <c:pt idx="1">
                    <c:v>$403.37</c:v>
                  </c:pt>
                  <c:pt idx="2">
                    <c:v>$408.46</c:v>
                  </c:pt>
                  <c:pt idx="3">
                    <c:v>$408.47</c:v>
                  </c:pt>
                  <c:pt idx="4">
                    <c:v>$408.47</c:v>
                  </c:pt>
                  <c:pt idx="5">
                    <c:v>$408.47</c:v>
                  </c:pt>
                  <c:pt idx="6">
                    <c:v>$420.02</c:v>
                  </c:pt>
                  <c:pt idx="7">
                    <c:v>$423.67</c:v>
                  </c:pt>
                  <c:pt idx="8">
                    <c:v>$423.69</c:v>
                  </c:pt>
                  <c:pt idx="9">
                    <c:v>$423.70</c:v>
                  </c:pt>
                  <c:pt idx="10">
                    <c:v>$423.69</c:v>
                  </c:pt>
                  <c:pt idx="11">
                    <c:v>$416.63</c:v>
                  </c:pt>
                  <c:pt idx="12">
                    <c:v>$421.46</c:v>
                  </c:pt>
                  <c:pt idx="13">
                    <c:v>$422.13</c:v>
                  </c:pt>
                  <c:pt idx="14">
                    <c:v>$422.31</c:v>
                  </c:pt>
                  <c:pt idx="15">
                    <c:v>$422.31</c:v>
                  </c:pt>
                  <c:pt idx="16">
                    <c:v>$422.31</c:v>
                  </c:pt>
                  <c:pt idx="17">
                    <c:v>$432.34</c:v>
                  </c:pt>
                  <c:pt idx="18">
                    <c:v>$438.82</c:v>
                  </c:pt>
                  <c:pt idx="19">
                    <c:v>$439.43</c:v>
                  </c:pt>
                  <c:pt idx="20">
                    <c:v>$435.41</c:v>
                  </c:pt>
                </c:lvl>
                <c:lvl>
                  <c:pt idx="0">
                    <c:v>$101.75</c:v>
                  </c:pt>
                  <c:pt idx="1">
                    <c:v>$101.75</c:v>
                  </c:pt>
                  <c:pt idx="2">
                    <c:v>$101.75</c:v>
                  </c:pt>
                  <c:pt idx="3">
                    <c:v>$101.75</c:v>
                  </c:pt>
                  <c:pt idx="4">
                    <c:v>$101.75</c:v>
                  </c:pt>
                  <c:pt idx="5">
                    <c:v>$101.75</c:v>
                  </c:pt>
                  <c:pt idx="6">
                    <c:v>$101.75</c:v>
                  </c:pt>
                  <c:pt idx="7">
                    <c:v>$101.75</c:v>
                  </c:pt>
                  <c:pt idx="8">
                    <c:v>$101.75</c:v>
                  </c:pt>
                  <c:pt idx="9">
                    <c:v>$101.75</c:v>
                  </c:pt>
                  <c:pt idx="10">
                    <c:v>$101.75</c:v>
                  </c:pt>
                  <c:pt idx="11">
                    <c:v>$101.75</c:v>
                  </c:pt>
                  <c:pt idx="12">
                    <c:v>$102.05</c:v>
                  </c:pt>
                  <c:pt idx="13">
                    <c:v>$102.05</c:v>
                  </c:pt>
                  <c:pt idx="14">
                    <c:v>$102.05</c:v>
                  </c:pt>
                  <c:pt idx="15">
                    <c:v>$102.05</c:v>
                  </c:pt>
                  <c:pt idx="16">
                    <c:v>$102.05</c:v>
                  </c:pt>
                  <c:pt idx="17">
                    <c:v>$102.05</c:v>
                  </c:pt>
                  <c:pt idx="18">
                    <c:v>$102.05</c:v>
                  </c:pt>
                  <c:pt idx="19">
                    <c:v>$102.05</c:v>
                  </c:pt>
                  <c:pt idx="20">
                    <c:v>$102.05</c:v>
                  </c:pt>
                </c:lvl>
                <c:lvl>
                  <c:pt idx="0">
                    <c:v>$2.18</c:v>
                  </c:pt>
                  <c:pt idx="1">
                    <c:v>$2.19</c:v>
                  </c:pt>
                  <c:pt idx="2">
                    <c:v>$2.21</c:v>
                  </c:pt>
                  <c:pt idx="3">
                    <c:v>$2.21</c:v>
                  </c:pt>
                  <c:pt idx="4">
                    <c:v>$2.21</c:v>
                  </c:pt>
                  <c:pt idx="5">
                    <c:v>$2.21</c:v>
                  </c:pt>
                  <c:pt idx="6">
                    <c:v>$2.27</c:v>
                  </c:pt>
                  <c:pt idx="7">
                    <c:v>$2.29</c:v>
                  </c:pt>
                  <c:pt idx="8">
                    <c:v>$2.29</c:v>
                  </c:pt>
                  <c:pt idx="9">
                    <c:v>$2.29</c:v>
                  </c:pt>
                  <c:pt idx="10">
                    <c:v>$2.29</c:v>
                  </c:pt>
                  <c:pt idx="11">
                    <c:v>$2.25</c:v>
                  </c:pt>
                  <c:pt idx="12">
                    <c:v>$2.28</c:v>
                  </c:pt>
                  <c:pt idx="13">
                    <c:v>$2.28</c:v>
                  </c:pt>
                  <c:pt idx="14">
                    <c:v>$2.28</c:v>
                  </c:pt>
                  <c:pt idx="15">
                    <c:v>$2.28</c:v>
                  </c:pt>
                  <c:pt idx="16">
                    <c:v>$2.28</c:v>
                  </c:pt>
                  <c:pt idx="17">
                    <c:v>$2.33</c:v>
                  </c:pt>
                  <c:pt idx="18">
                    <c:v>$2.37</c:v>
                  </c:pt>
                  <c:pt idx="19">
                    <c:v>$2.37</c:v>
                  </c:pt>
                  <c:pt idx="20">
                    <c:v>$2.35</c:v>
                  </c:pt>
                </c:lvl>
                <c:lvl>
                  <c:pt idx="0">
                    <c:v>$1.91</c:v>
                  </c:pt>
                  <c:pt idx="1">
                    <c:v>$1.92</c:v>
                  </c:pt>
                  <c:pt idx="2">
                    <c:v>$1.94</c:v>
                  </c:pt>
                  <c:pt idx="3">
                    <c:v>$1.94</c:v>
                  </c:pt>
                  <c:pt idx="4">
                    <c:v>$1.94</c:v>
                  </c:pt>
                  <c:pt idx="5">
                    <c:v>$1.94</c:v>
                  </c:pt>
                  <c:pt idx="6">
                    <c:v>$1.99</c:v>
                  </c:pt>
                  <c:pt idx="7">
                    <c:v>$2.01</c:v>
                  </c:pt>
                  <c:pt idx="8">
                    <c:v>$2.01</c:v>
                  </c:pt>
                  <c:pt idx="9">
                    <c:v>$2.01</c:v>
                  </c:pt>
                  <c:pt idx="10">
                    <c:v>$2.01</c:v>
                  </c:pt>
                  <c:pt idx="11">
                    <c:v>$1.97</c:v>
                  </c:pt>
                  <c:pt idx="12">
                    <c:v>$2.00</c:v>
                  </c:pt>
                  <c:pt idx="13">
                    <c:v>$2.00</c:v>
                  </c:pt>
                  <c:pt idx="14">
                    <c:v>$2.00</c:v>
                  </c:pt>
                  <c:pt idx="15">
                    <c:v>$2.00</c:v>
                  </c:pt>
                  <c:pt idx="16">
                    <c:v>$2.00</c:v>
                  </c:pt>
                  <c:pt idx="17">
                    <c:v>$2.05</c:v>
                  </c:pt>
                  <c:pt idx="18">
                    <c:v>$2.07</c:v>
                  </c:pt>
                  <c:pt idx="19">
                    <c:v>$2.08</c:v>
                  </c:pt>
                  <c:pt idx="20">
                    <c:v>$2.06</c:v>
                  </c:pt>
                </c:lvl>
                <c:lvl>
                  <c:pt idx="0">
                    <c:v>$1.07</c:v>
                  </c:pt>
                  <c:pt idx="1">
                    <c:v>$1.08</c:v>
                  </c:pt>
                  <c:pt idx="2">
                    <c:v>$1.09</c:v>
                  </c:pt>
                  <c:pt idx="3">
                    <c:v>$1.09</c:v>
                  </c:pt>
                  <c:pt idx="4">
                    <c:v>$1.09</c:v>
                  </c:pt>
                  <c:pt idx="5">
                    <c:v>$1.09</c:v>
                  </c:pt>
                  <c:pt idx="6">
                    <c:v>$1.11</c:v>
                  </c:pt>
                  <c:pt idx="7">
                    <c:v>$1.12</c:v>
                  </c:pt>
                  <c:pt idx="8">
                    <c:v>$1.12</c:v>
                  </c:pt>
                  <c:pt idx="9">
                    <c:v>$1.12</c:v>
                  </c:pt>
                  <c:pt idx="10">
                    <c:v>$1.12</c:v>
                  </c:pt>
                  <c:pt idx="11">
                    <c:v>$1.10</c:v>
                  </c:pt>
                  <c:pt idx="12">
                    <c:v>$1.12</c:v>
                  </c:pt>
                  <c:pt idx="13">
                    <c:v>$1.12</c:v>
                  </c:pt>
                  <c:pt idx="14">
                    <c:v>$1.12</c:v>
                  </c:pt>
                  <c:pt idx="15">
                    <c:v>$1.12</c:v>
                  </c:pt>
                  <c:pt idx="16">
                    <c:v>$1.12</c:v>
                  </c:pt>
                  <c:pt idx="17">
                    <c:v>$1.14</c:v>
                  </c:pt>
                  <c:pt idx="18">
                    <c:v>$1.16</c:v>
                  </c:pt>
                  <c:pt idx="19">
                    <c:v>$1.16</c:v>
                  </c:pt>
                  <c:pt idx="20">
                    <c:v>$1.15</c:v>
                  </c:pt>
                </c:lvl>
                <c:lvl>
                  <c:pt idx="0">
                    <c:v>$362.60</c:v>
                  </c:pt>
                  <c:pt idx="1">
                    <c:v>$362.60</c:v>
                  </c:pt>
                  <c:pt idx="2">
                    <c:v>$362.60</c:v>
                  </c:pt>
                  <c:pt idx="3">
                    <c:v>$362.60</c:v>
                  </c:pt>
                  <c:pt idx="4">
                    <c:v>$362.60</c:v>
                  </c:pt>
                  <c:pt idx="5">
                    <c:v>$362.60</c:v>
                  </c:pt>
                  <c:pt idx="6">
                    <c:v>$362.60</c:v>
                  </c:pt>
                  <c:pt idx="7">
                    <c:v>$362.60</c:v>
                  </c:pt>
                  <c:pt idx="8">
                    <c:v>$362.60</c:v>
                  </c:pt>
                  <c:pt idx="9">
                    <c:v>$362.60</c:v>
                  </c:pt>
                  <c:pt idx="10">
                    <c:v>$362.60</c:v>
                  </c:pt>
                  <c:pt idx="11">
                    <c:v>$362.60</c:v>
                  </c:pt>
                  <c:pt idx="12">
                    <c:v>$368.95</c:v>
                  </c:pt>
                  <c:pt idx="13">
                    <c:v>$368.95</c:v>
                  </c:pt>
                  <c:pt idx="14">
                    <c:v>$368.95</c:v>
                  </c:pt>
                  <c:pt idx="15">
                    <c:v>$368.95</c:v>
                  </c:pt>
                  <c:pt idx="16">
                    <c:v>$368.95</c:v>
                  </c:pt>
                  <c:pt idx="17">
                    <c:v>$368.95</c:v>
                  </c:pt>
                  <c:pt idx="18">
                    <c:v>$368.95</c:v>
                  </c:pt>
                  <c:pt idx="19">
                    <c:v>$368.95</c:v>
                  </c:pt>
                  <c:pt idx="20">
                    <c:v>$368.95</c:v>
                  </c:pt>
                </c:lvl>
                <c:lvl>
                  <c:pt idx="0">
                    <c:v>94.56</c:v>
                  </c:pt>
                  <c:pt idx="1">
                    <c:v>94.19</c:v>
                  </c:pt>
                  <c:pt idx="2">
                    <c:v>94.28</c:v>
                  </c:pt>
                  <c:pt idx="3">
                    <c:v>94.93</c:v>
                  </c:pt>
                  <c:pt idx="4">
                    <c:v>93.13</c:v>
                  </c:pt>
                  <c:pt idx="5">
                    <c:v>93.14</c:v>
                  </c:pt>
                  <c:pt idx="6">
                    <c:v>93.39</c:v>
                  </c:pt>
                  <c:pt idx="7">
                    <c:v>93.66</c:v>
                  </c:pt>
                  <c:pt idx="8">
                    <c:v>93.76</c:v>
                  </c:pt>
                  <c:pt idx="9">
                    <c:v>94.1</c:v>
                  </c:pt>
                  <c:pt idx="10">
                    <c:v>94.17</c:v>
                  </c:pt>
                  <c:pt idx="11">
                    <c:v>94.32</c:v>
                  </c:pt>
                  <c:pt idx="12">
                    <c:v>94.57</c:v>
                  </c:pt>
                  <c:pt idx="13">
                    <c:v>94.2</c:v>
                  </c:pt>
                  <c:pt idx="14">
                    <c:v>93.81</c:v>
                  </c:pt>
                  <c:pt idx="15">
                    <c:v>93.14</c:v>
                  </c:pt>
                  <c:pt idx="16">
                    <c:v>93.4</c:v>
                  </c:pt>
                  <c:pt idx="17">
                    <c:v>93.59</c:v>
                  </c:pt>
                  <c:pt idx="18">
                    <c:v>93.67</c:v>
                  </c:pt>
                  <c:pt idx="19">
                    <c:v>94.27</c:v>
                  </c:pt>
                  <c:pt idx="20">
                    <c:v>94.01</c:v>
                  </c:pt>
                </c:lvl>
                <c:lvl>
                  <c:pt idx="0">
                    <c:v>325156</c:v>
                  </c:pt>
                  <c:pt idx="1">
                    <c:v>361949</c:v>
                  </c:pt>
                  <c:pt idx="2">
                    <c:v>404533</c:v>
                  </c:pt>
                  <c:pt idx="3">
                    <c:v>378731</c:v>
                  </c:pt>
                  <c:pt idx="4">
                    <c:v>422677</c:v>
                  </c:pt>
                  <c:pt idx="5">
                    <c:v>418685</c:v>
                  </c:pt>
                  <c:pt idx="6">
                    <c:v>412155</c:v>
                  </c:pt>
                  <c:pt idx="7">
                    <c:v>417877</c:v>
                  </c:pt>
                  <c:pt idx="8">
                    <c:v>383440</c:v>
                  </c:pt>
                  <c:pt idx="9">
                    <c:v>383597</c:v>
                  </c:pt>
                  <c:pt idx="10">
                    <c:v>362838</c:v>
                  </c:pt>
                  <c:pt idx="11">
                    <c:v>282886</c:v>
                  </c:pt>
                  <c:pt idx="12">
                    <c:v>336846</c:v>
                  </c:pt>
                  <c:pt idx="13">
                    <c:v>320568</c:v>
                  </c:pt>
                  <c:pt idx="14">
                    <c:v>364109</c:v>
                  </c:pt>
                  <c:pt idx="15">
                    <c:v>378000</c:v>
                  </c:pt>
                  <c:pt idx="16">
                    <c:v>389248</c:v>
                  </c:pt>
                  <c:pt idx="17">
                    <c:v>375229</c:v>
                  </c:pt>
                  <c:pt idx="18">
                    <c:v>374983</c:v>
                  </c:pt>
                  <c:pt idx="19">
                    <c:v>360110</c:v>
                  </c:pt>
                  <c:pt idx="20">
                    <c:v>345944</c:v>
                  </c:pt>
                </c:lvl>
                <c:lvl>
                  <c:pt idx="0">
                    <c:v>2228.82</c:v>
                  </c:pt>
                  <c:pt idx="1">
                    <c:v>2558.21</c:v>
                  </c:pt>
                  <c:pt idx="2">
                    <c:v>2697.36</c:v>
                  </c:pt>
                  <c:pt idx="3">
                    <c:v>2783.11</c:v>
                  </c:pt>
                  <c:pt idx="4">
                    <c:v>2547.62</c:v>
                  </c:pt>
                  <c:pt idx="5">
                    <c:v>2610.92</c:v>
                  </c:pt>
                  <c:pt idx="6">
                    <c:v>2538.14</c:v>
                  </c:pt>
                  <c:pt idx="7">
                    <c:v>2632.99</c:v>
                  </c:pt>
                  <c:pt idx="8">
                    <c:v>2518.37</c:v>
                  </c:pt>
                  <c:pt idx="9">
                    <c:v>2475.05</c:v>
                  </c:pt>
                  <c:pt idx="10">
                    <c:v>2474.18</c:v>
                  </c:pt>
                  <c:pt idx="11">
                    <c:v>1894.38</c:v>
                  </c:pt>
                  <c:pt idx="12">
                    <c:v>2311.38</c:v>
                  </c:pt>
                  <c:pt idx="13">
                    <c:v>2349.01</c:v>
                  </c:pt>
                  <c:pt idx="14">
                    <c:v>2326.18</c:v>
                  </c:pt>
                  <c:pt idx="15">
                    <c:v>1836.69</c:v>
                  </c:pt>
                  <c:pt idx="16">
                    <c:v>2398.75</c:v>
                  </c:pt>
                  <c:pt idx="17">
                    <c:v>2428.06</c:v>
                  </c:pt>
                  <c:pt idx="18">
                    <c:v>2366.10</c:v>
                  </c:pt>
                  <c:pt idx="19">
                    <c:v>2398.32</c:v>
                  </c:pt>
                  <c:pt idx="20">
                    <c:v>2324.72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2199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1798</c:v>
                  </c:pt>
                  <c:pt idx="1">
                    <c:v>1904</c:v>
                  </c:pt>
                  <c:pt idx="2">
                    <c:v>2012</c:v>
                  </c:pt>
                  <c:pt idx="3">
                    <c:v>1995</c:v>
                  </c:pt>
                  <c:pt idx="4">
                    <c:v>1928</c:v>
                  </c:pt>
                  <c:pt idx="5">
                    <c:v>1968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1713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1781</c:v>
                  </c:pt>
                  <c:pt idx="14">
                    <c:v>1805</c:v>
                  </c:pt>
                  <c:pt idx="15">
                    <c:v>1539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1777</c:v>
                  </c:pt>
                  <c:pt idx="19">
                    <c:v>1802</c:v>
                  </c:pt>
                  <c:pt idx="20">
                    <c:v>1760</c:v>
                  </c:pt>
                </c:lvl>
                <c:lvl>
                  <c:pt idx="0">
                    <c:v>1732</c:v>
                  </c:pt>
                  <c:pt idx="1">
                    <c:v>1749</c:v>
                  </c:pt>
                  <c:pt idx="2">
                    <c:v>1860</c:v>
                  </c:pt>
                  <c:pt idx="3">
                    <c:v>1698</c:v>
                  </c:pt>
                  <c:pt idx="4">
                    <c:v>1725</c:v>
                  </c:pt>
                  <c:pt idx="5">
                    <c:v>1720</c:v>
                  </c:pt>
                  <c:pt idx="6">
                    <c:v>1693</c:v>
                  </c:pt>
                  <c:pt idx="7">
                    <c:v>1743</c:v>
                  </c:pt>
                  <c:pt idx="8">
                    <c:v>1625</c:v>
                  </c:pt>
                  <c:pt idx="9">
                    <c:v>1538</c:v>
                  </c:pt>
                  <c:pt idx="10">
                    <c:v>1778</c:v>
                  </c:pt>
                  <c:pt idx="11">
                    <c:v>1705</c:v>
                  </c:pt>
                  <c:pt idx="12">
                    <c:v>1774</c:v>
                  </c:pt>
                  <c:pt idx="13">
                    <c:v>1695</c:v>
                  </c:pt>
                  <c:pt idx="14">
                    <c:v>1692</c:v>
                  </c:pt>
                  <c:pt idx="15">
                    <c:v>1759</c:v>
                  </c:pt>
                  <c:pt idx="16">
                    <c:v>1629</c:v>
                  </c:pt>
                  <c:pt idx="17">
                    <c:v>1593</c:v>
                  </c:pt>
                  <c:pt idx="18">
                    <c:v>1532</c:v>
                  </c:pt>
                  <c:pt idx="19">
                    <c:v>1524</c:v>
                  </c:pt>
                  <c:pt idx="20">
                    <c:v>1498</c:v>
                  </c:pt>
                </c:lvl>
                <c:lvl>
                  <c:pt idx="0">
                    <c:v>945199</c:v>
                  </c:pt>
                  <c:pt idx="1">
                    <c:v>1014895</c:v>
                  </c:pt>
                  <c:pt idx="2">
                    <c:v>1143898</c:v>
                  </c:pt>
                  <c:pt idx="3">
                    <c:v>1142190</c:v>
                  </c:pt>
                  <c:pt idx="4">
                    <c:v>1080393</c:v>
                  </c:pt>
                  <c:pt idx="5">
                    <c:v>1071520</c:v>
                  </c:pt>
                  <c:pt idx="6">
                    <c:v>1076376</c:v>
                  </c:pt>
                  <c:pt idx="7">
                    <c:v>1116598</c:v>
                  </c:pt>
                  <c:pt idx="8">
                    <c:v>1033537</c:v>
                  </c:pt>
                  <c:pt idx="9">
                    <c:v>1049618</c:v>
                  </c:pt>
                  <c:pt idx="10">
                    <c:v>1015403</c:v>
                  </c:pt>
                  <c:pt idx="11">
                    <c:v>803368</c:v>
                  </c:pt>
                  <c:pt idx="12">
                    <c:v>980209</c:v>
                  </c:pt>
                  <c:pt idx="13">
                    <c:v>899765</c:v>
                  </c:pt>
                  <c:pt idx="14">
                    <c:v>986487</c:v>
                  </c:pt>
                  <c:pt idx="15">
                    <c:v>753777</c:v>
                  </c:pt>
                  <c:pt idx="16">
                    <c:v>1017260</c:v>
                  </c:pt>
                  <c:pt idx="17">
                    <c:v>996476</c:v>
                  </c:pt>
                  <c:pt idx="18">
                    <c:v>1003415</c:v>
                  </c:pt>
                  <c:pt idx="19">
                    <c:v>1017081</c:v>
                  </c:pt>
                  <c:pt idx="20">
                    <c:v>954067</c:v>
                  </c:pt>
                </c:lvl>
                <c:lvl>
                  <c:pt idx="0">
                    <c:v>141986</c:v>
                  </c:pt>
                  <c:pt idx="1">
                    <c:v>150228</c:v>
                  </c:pt>
                  <c:pt idx="2">
                    <c:v>160629</c:v>
                  </c:pt>
                  <c:pt idx="3">
                    <c:v>92039</c:v>
                  </c:pt>
                  <c:pt idx="4">
                    <c:v>73815</c:v>
                  </c:pt>
                  <c:pt idx="5">
                    <c:v>72019</c:v>
                  </c:pt>
                  <c:pt idx="6">
                    <c:v>78527</c:v>
                  </c:pt>
                  <c:pt idx="7">
                    <c:v>78101</c:v>
                  </c:pt>
                  <c:pt idx="8">
                    <c:v>69105</c:v>
                  </c:pt>
                  <c:pt idx="9">
                    <c:v>87420</c:v>
                  </c:pt>
                  <c:pt idx="10">
                    <c:v>149661</c:v>
                  </c:pt>
                  <c:pt idx="11">
                    <c:v>115374</c:v>
                  </c:pt>
                  <c:pt idx="12">
                    <c:v>150493</c:v>
                  </c:pt>
                  <c:pt idx="13">
                    <c:v>137541</c:v>
                  </c:pt>
                  <c:pt idx="14">
                    <c:v>145990</c:v>
                  </c:pt>
                  <c:pt idx="15">
                    <c:v>56501</c:v>
                  </c:pt>
                  <c:pt idx="16">
                    <c:v>71617</c:v>
                  </c:pt>
                  <c:pt idx="17">
                    <c:v>69202</c:v>
                  </c:pt>
                  <c:pt idx="18">
                    <c:v>73589</c:v>
                  </c:pt>
                  <c:pt idx="19">
                    <c:v>68684</c:v>
                  </c:pt>
                  <c:pt idx="20">
                    <c:v>67117</c:v>
                  </c:pt>
                </c:lvl>
                <c:lvl>
                  <c:pt idx="0">
                    <c:v>528463</c:v>
                  </c:pt>
                  <c:pt idx="1">
                    <c:v>560167</c:v>
                  </c:pt>
                  <c:pt idx="2">
                    <c:v>643769</c:v>
                  </c:pt>
                  <c:pt idx="3">
                    <c:v>712401</c:v>
                  </c:pt>
                  <c:pt idx="4">
                    <c:v>667425</c:v>
                  </c:pt>
                  <c:pt idx="5">
                    <c:v>663345</c:v>
                  </c:pt>
                  <c:pt idx="6">
                    <c:v>685539</c:v>
                  </c:pt>
                  <c:pt idx="7">
                    <c:v>706495</c:v>
                  </c:pt>
                  <c:pt idx="8">
                    <c:v>633961</c:v>
                  </c:pt>
                  <c:pt idx="9">
                    <c:v>640990</c:v>
                  </c:pt>
                  <c:pt idx="10">
                    <c:v>547998</c:v>
                  </c:pt>
                  <c:pt idx="11">
                    <c:v>421137</c:v>
                  </c:pt>
                  <c:pt idx="12">
                    <c:v>539148</c:v>
                  </c:pt>
                  <c:pt idx="13">
                    <c:v>480769</c:v>
                  </c:pt>
                  <c:pt idx="14">
                    <c:v>524576</c:v>
                  </c:pt>
                  <c:pt idx="15">
                    <c:v>467943</c:v>
                  </c:pt>
                  <c:pt idx="16">
                    <c:v>631629</c:v>
                  </c:pt>
                  <c:pt idx="17">
                    <c:v>617882</c:v>
                  </c:pt>
                  <c:pt idx="18">
                    <c:v>637645</c:v>
                  </c:pt>
                  <c:pt idx="19">
                    <c:v>636185</c:v>
                  </c:pt>
                  <c:pt idx="20">
                    <c:v>603860</c:v>
                  </c:pt>
                </c:lvl>
                <c:lvl>
                  <c:pt idx="0">
                    <c:v>274750</c:v>
                  </c:pt>
                  <c:pt idx="1">
                    <c:v>304500</c:v>
                  </c:pt>
                  <c:pt idx="2">
                    <c:v>339500</c:v>
                  </c:pt>
                  <c:pt idx="3">
                    <c:v>337750</c:v>
                  </c:pt>
                  <c:pt idx="4">
                    <c:v>339153</c:v>
                  </c:pt>
                  <c:pt idx="5">
                    <c:v>336156</c:v>
                  </c:pt>
                  <c:pt idx="6">
                    <c:v>312310</c:v>
                  </c:pt>
                  <c:pt idx="7">
                    <c:v>332002</c:v>
                  </c:pt>
                  <c:pt idx="8">
                    <c:v>330471</c:v>
                  </c:pt>
                  <c:pt idx="9">
                    <c:v>321208</c:v>
                  </c:pt>
                  <c:pt idx="10">
                    <c:v>317744</c:v>
                  </c:pt>
                  <c:pt idx="11">
                    <c:v>266857</c:v>
                  </c:pt>
                  <c:pt idx="12">
                    <c:v>290568</c:v>
                  </c:pt>
                  <c:pt idx="13">
                    <c:v>281455</c:v>
                  </c:pt>
                  <c:pt idx="14">
                    <c:v>315921</c:v>
                  </c:pt>
                  <c:pt idx="15">
                    <c:v>229333</c:v>
                  </c:pt>
                  <c:pt idx="16">
                    <c:v>314014</c:v>
                  </c:pt>
                  <c:pt idx="17">
                    <c:v>309392</c:v>
                  </c:pt>
                  <c:pt idx="18">
                    <c:v>292181</c:v>
                  </c:pt>
                  <c:pt idx="19">
                    <c:v>312212</c:v>
                  </c:pt>
                  <c:pt idx="20">
                    <c:v>283090</c:v>
                  </c:pt>
                </c:lvl>
                <c:lvl>
                  <c:pt idx="0">
                    <c:v>31</c:v>
                  </c:pt>
                  <c:pt idx="1">
                    <c:v>29</c:v>
                  </c:pt>
                  <c:pt idx="2">
                    <c:v>31</c:v>
                  </c:pt>
                  <c:pt idx="3">
                    <c:v>30</c:v>
                  </c:pt>
                  <c:pt idx="4">
                    <c:v>31</c:v>
                  </c:pt>
                  <c:pt idx="5">
                    <c:v>30</c:v>
                  </c:pt>
                  <c:pt idx="6">
                    <c:v>31</c:v>
                  </c:pt>
                  <c:pt idx="7">
                    <c:v>31</c:v>
                  </c:pt>
                  <c:pt idx="8">
                    <c:v>30</c:v>
                  </c:pt>
                  <c:pt idx="9">
                    <c:v>31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31</c:v>
                  </c:pt>
                  <c:pt idx="13">
                    <c:v>28</c:v>
                  </c:pt>
                  <c:pt idx="14">
                    <c:v>31</c:v>
                  </c:pt>
                  <c:pt idx="15">
                    <c:v>30</c:v>
                  </c:pt>
                  <c:pt idx="16">
                    <c:v>31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31</c:v>
                  </c:pt>
                  <c:pt idx="20">
                    <c:v>30</c:v>
                  </c:pt>
                </c:lvl>
                <c:lvl>
                  <c:pt idx="0">
                    <c:v>31/01/2024</c:v>
                  </c:pt>
                  <c:pt idx="1">
                    <c:v>29/02/2024</c:v>
                  </c:pt>
                  <c:pt idx="2">
                    <c:v>31/03/2024</c:v>
                  </c:pt>
                  <c:pt idx="3">
                    <c:v>30/04/2024</c:v>
                  </c:pt>
                  <c:pt idx="4">
                    <c:v>31/05/2024</c:v>
                  </c:pt>
                  <c:pt idx="5">
                    <c:v>30/06/2024</c:v>
                  </c:pt>
                  <c:pt idx="6">
                    <c:v>31/07/2024</c:v>
                  </c:pt>
                  <c:pt idx="7">
                    <c:v>31/08/2024</c:v>
                  </c:pt>
                  <c:pt idx="8">
                    <c:v>30/09/2024</c:v>
                  </c:pt>
                  <c:pt idx="9">
                    <c:v>31/10/2024</c:v>
                  </c:pt>
                  <c:pt idx="10">
                    <c:v>30/11/2024</c:v>
                  </c:pt>
                  <c:pt idx="11">
                    <c:v>31/12/2024</c:v>
                  </c:pt>
                  <c:pt idx="12">
                    <c:v>31/01/2025</c:v>
                  </c:pt>
                  <c:pt idx="13">
                    <c:v>28/02/2025</c:v>
                  </c:pt>
                  <c:pt idx="14">
                    <c:v>31/03/2025</c:v>
                  </c:pt>
                  <c:pt idx="15">
                    <c:v>30/04/2025</c:v>
                  </c:pt>
                  <c:pt idx="16">
                    <c:v>31/05/2025</c:v>
                  </c:pt>
                  <c:pt idx="17">
                    <c:v>30/06/2025</c:v>
                  </c:pt>
                  <c:pt idx="18">
                    <c:v>31/07/2025</c:v>
                  </c:pt>
                  <c:pt idx="19">
                    <c:v>31/08/2025</c:v>
                  </c:pt>
                  <c:pt idx="20">
                    <c:v>30/09/2025</c:v>
                  </c:pt>
                </c:lvl>
              </c:multiLvlStrCache>
            </c:multiLvlStrRef>
          </c:cat>
          <c:val>
            <c:numRef>
              <c:f>Hoja1!$AO$3:$AO$23</c:f>
              <c:numCache>
                <c:formatCode>General</c:formatCode>
                <c:ptCount val="21"/>
                <c:pt idx="0">
                  <c:v>320</c:v>
                </c:pt>
                <c:pt idx="1">
                  <c:v>284</c:v>
                </c:pt>
                <c:pt idx="2">
                  <c:v>307</c:v>
                </c:pt>
                <c:pt idx="3">
                  <c:v>311</c:v>
                </c:pt>
                <c:pt idx="4">
                  <c:v>324</c:v>
                </c:pt>
                <c:pt idx="5">
                  <c:v>300</c:v>
                </c:pt>
                <c:pt idx="6">
                  <c:v>324</c:v>
                </c:pt>
                <c:pt idx="7">
                  <c:v>324</c:v>
                </c:pt>
                <c:pt idx="8">
                  <c:v>300</c:v>
                </c:pt>
                <c:pt idx="9">
                  <c:v>324</c:v>
                </c:pt>
                <c:pt idx="10">
                  <c:v>307</c:v>
                </c:pt>
                <c:pt idx="11">
                  <c:v>308</c:v>
                </c:pt>
                <c:pt idx="12">
                  <c:v>320</c:v>
                </c:pt>
                <c:pt idx="13">
                  <c:v>284</c:v>
                </c:pt>
                <c:pt idx="14">
                  <c:v>307</c:v>
                </c:pt>
                <c:pt idx="15">
                  <c:v>311</c:v>
                </c:pt>
                <c:pt idx="16">
                  <c:v>324</c:v>
                </c:pt>
                <c:pt idx="17">
                  <c:v>300</c:v>
                </c:pt>
                <c:pt idx="18">
                  <c:v>324</c:v>
                </c:pt>
                <c:pt idx="19">
                  <c:v>324</c:v>
                </c:pt>
                <c:pt idx="20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DB-4C5A-9BB5-44A0BCD50CF4}"/>
            </c:ext>
          </c:extLst>
        </c:ser>
        <c:ser>
          <c:idx val="5"/>
          <c:order val="6"/>
          <c:tx>
            <c:strRef>
              <c:f>Hoja1!$AP$2</c:f>
              <c:strCache>
                <c:ptCount val="1"/>
                <c:pt idx="0">
                  <c:v>TOTAL DE HORAS SOLARES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Hoja1!$B$3:$AJ$23</c:f>
              <c:multiLvlStrCache>
                <c:ptCount val="21"/>
                <c:lvl>
                  <c:pt idx="7">
                    <c:v>NET MET </c:v>
                  </c:pt>
                  <c:pt idx="8">
                    <c:v>NET MET </c:v>
                  </c:pt>
                  <c:pt idx="9">
                    <c:v>NET MET </c:v>
                  </c:pt>
                  <c:pt idx="10">
                    <c:v>NET MET </c:v>
                  </c:pt>
                  <c:pt idx="11">
                    <c:v>NET MET </c:v>
                  </c:pt>
                  <c:pt idx="12">
                    <c:v>NET MET </c:v>
                  </c:pt>
                  <c:pt idx="13">
                    <c:v>NET MET </c:v>
                  </c:pt>
                  <c:pt idx="14">
                    <c:v>NET MET </c:v>
                  </c:pt>
                  <c:pt idx="15">
                    <c:v>NET MET </c:v>
                  </c:pt>
                  <c:pt idx="16">
                    <c:v>NET MET </c:v>
                  </c:pt>
                  <c:pt idx="17">
                    <c:v>NET MET </c:v>
                  </c:pt>
                  <c:pt idx="18">
                    <c:v>NET MET </c:v>
                  </c:pt>
                  <c:pt idx="19">
                    <c:v>NET MET </c:v>
                  </c:pt>
                  <c:pt idx="20">
                    <c:v>NET MET </c:v>
                  </c:pt>
                </c:lvl>
                <c:lvl>
                  <c:pt idx="0">
                    <c:v>$3,139,386.73</c:v>
                  </c:pt>
                  <c:pt idx="1">
                    <c:v>$3,382,391.85</c:v>
                  </c:pt>
                  <c:pt idx="2">
                    <c:v>$3,654,425.48</c:v>
                  </c:pt>
                  <c:pt idx="3">
                    <c:v>$2,667,773.08</c:v>
                  </c:pt>
                  <c:pt idx="4">
                    <c:v>$3,539,097.01</c:v>
                  </c:pt>
                  <c:pt idx="5">
                    <c:v>$3,535,459.65</c:v>
                  </c:pt>
                  <c:pt idx="6">
                    <c:v>$3,611,655.71</c:v>
                  </c:pt>
                  <c:pt idx="7">
                    <c:v>$3,721,605.57</c:v>
                  </c:pt>
                  <c:pt idx="8">
                    <c:v>$3,470,852.69</c:v>
                  </c:pt>
                  <c:pt idx="9">
                    <c:v>$3,505,262.83</c:v>
                  </c:pt>
                  <c:pt idx="10">
                    <c:v>$3,423,297.38</c:v>
                  </c:pt>
                  <c:pt idx="11">
                    <c:v>$2,879,446.80</c:v>
                  </c:pt>
                  <c:pt idx="12">
                    <c:v>$3,326,870.11</c:v>
                  </c:pt>
                  <c:pt idx="13">
                    <c:v>$3,159,111.38</c:v>
                  </c:pt>
                  <c:pt idx="14">
                    <c:v>$3,360,342.25</c:v>
                  </c:pt>
                  <c:pt idx="15">
                    <c:v>$3,159,586.64</c:v>
                  </c:pt>
                  <c:pt idx="16">
                    <c:v>$3,435,152.63</c:v>
                  </c:pt>
                  <c:pt idx="17">
                    <c:v>$3,469,952.56</c:v>
                  </c:pt>
                  <c:pt idx="18">
                    <c:v>$3,528,886.77</c:v>
                  </c:pt>
                  <c:pt idx="19">
                    <c:v>$3,506,402.47</c:v>
                  </c:pt>
                  <c:pt idx="20">
                    <c:v>$3,145,778.60</c:v>
                  </c:pt>
                </c:lvl>
                <c:lvl>
                  <c:pt idx="0">
                    <c:v>$3,139,385.89</c:v>
                  </c:pt>
                  <c:pt idx="1">
                    <c:v>$3,382,391.13</c:v>
                  </c:pt>
                  <c:pt idx="2">
                    <c:v>$3,654,424.63</c:v>
                  </c:pt>
                  <c:pt idx="3">
                    <c:v>$2,728,638.96</c:v>
                  </c:pt>
                  <c:pt idx="4">
                    <c:v>$3,539,096.92</c:v>
                  </c:pt>
                  <c:pt idx="5">
                    <c:v>$3,535,459.64</c:v>
                  </c:pt>
                  <c:pt idx="6">
                    <c:v>$3,611,655.06</c:v>
                  </c:pt>
                  <c:pt idx="7">
                    <c:v>$3,721,604.85</c:v>
                  </c:pt>
                  <c:pt idx="8">
                    <c:v>$3,470,852.11</c:v>
                  </c:pt>
                  <c:pt idx="9">
                    <c:v>$3,458,352.78</c:v>
                  </c:pt>
                  <c:pt idx="10">
                    <c:v>$3,423,296.55</c:v>
                  </c:pt>
                  <c:pt idx="11">
                    <c:v>$2,879,446.43</c:v>
                  </c:pt>
                  <c:pt idx="12">
                    <c:v>$3,326,869.33</c:v>
                  </c:pt>
                  <c:pt idx="13">
                    <c:v>$3,159,111.26</c:v>
                  </c:pt>
                  <c:pt idx="14">
                    <c:v>$3,360,341.87</c:v>
                  </c:pt>
                  <c:pt idx="15">
                    <c:v>$2,855,734.72</c:v>
                  </c:pt>
                  <c:pt idx="16">
                    <c:v>$3,435,151.97</c:v>
                  </c:pt>
                  <c:pt idx="17">
                    <c:v>$3,469,951.94</c:v>
                  </c:pt>
                  <c:pt idx="18">
                    <c:v>$3,528,886.22</c:v>
                  </c:pt>
                  <c:pt idx="19">
                    <c:v>$3,506,401.69</c:v>
                  </c:pt>
                  <c:pt idx="20">
                    <c:v>$3,362,728.34</c:v>
                  </c:pt>
                </c:lvl>
                <c:lvl>
                  <c:pt idx="0">
                    <c:v>$202,541.03</c:v>
                  </c:pt>
                  <c:pt idx="1">
                    <c:v>$218,218.78</c:v>
                  </c:pt>
                  <c:pt idx="2">
                    <c:v>$235,769.33</c:v>
                  </c:pt>
                  <c:pt idx="3">
                    <c:v>$176,041.22</c:v>
                  </c:pt>
                  <c:pt idx="4">
                    <c:v>$228,328.83</c:v>
                  </c:pt>
                  <c:pt idx="5">
                    <c:v>$228,094.17</c:v>
                  </c:pt>
                  <c:pt idx="6">
                    <c:v>$233,010.00</c:v>
                  </c:pt>
                  <c:pt idx="7">
                    <c:v>$240,103.54</c:v>
                  </c:pt>
                  <c:pt idx="8">
                    <c:v>$223,925.94</c:v>
                  </c:pt>
                  <c:pt idx="9">
                    <c:v>$223,119.53</c:v>
                  </c:pt>
                  <c:pt idx="10">
                    <c:v>$220,857.84</c:v>
                  </c:pt>
                  <c:pt idx="11">
                    <c:v>$185,770.74</c:v>
                  </c:pt>
                  <c:pt idx="12">
                    <c:v>$214,636.73</c:v>
                  </c:pt>
                  <c:pt idx="13">
                    <c:v>$203,813.63</c:v>
                  </c:pt>
                  <c:pt idx="14">
                    <c:v>$216,796.25</c:v>
                  </c:pt>
                  <c:pt idx="15">
                    <c:v>$184,240.95</c:v>
                  </c:pt>
                  <c:pt idx="16">
                    <c:v>$221,622.71</c:v>
                  </c:pt>
                  <c:pt idx="17">
                    <c:v>$223,867.87</c:v>
                  </c:pt>
                  <c:pt idx="18">
                    <c:v>$227,670.08</c:v>
                  </c:pt>
                  <c:pt idx="19">
                    <c:v>$226,219.46</c:v>
                  </c:pt>
                  <c:pt idx="20">
                    <c:v>$216,950.22</c:v>
                  </c:pt>
                </c:lvl>
                <c:lvl>
                  <c:pt idx="0">
                    <c:v>$405,082.05</c:v>
                  </c:pt>
                  <c:pt idx="1">
                    <c:v>$436,437.57</c:v>
                  </c:pt>
                  <c:pt idx="2">
                    <c:v>$471,538.66</c:v>
                  </c:pt>
                  <c:pt idx="3">
                    <c:v>$352,082.45</c:v>
                  </c:pt>
                  <c:pt idx="4">
                    <c:v>$456,657.67</c:v>
                  </c:pt>
                  <c:pt idx="5">
                    <c:v>$456,188.34</c:v>
                  </c:pt>
                  <c:pt idx="6">
                    <c:v>$466,020.01</c:v>
                  </c:pt>
                  <c:pt idx="7">
                    <c:v>$480,207.08</c:v>
                  </c:pt>
                  <c:pt idx="8">
                    <c:v>$447,851.89</c:v>
                  </c:pt>
                  <c:pt idx="9">
                    <c:v>$446,239.07</c:v>
                  </c:pt>
                  <c:pt idx="10">
                    <c:v>$441,715.68</c:v>
                  </c:pt>
                  <c:pt idx="11">
                    <c:v>$371,541.47</c:v>
                  </c:pt>
                  <c:pt idx="12">
                    <c:v>$429,273.46</c:v>
                  </c:pt>
                  <c:pt idx="13">
                    <c:v>$407,627.26</c:v>
                  </c:pt>
                  <c:pt idx="14">
                    <c:v>$433,592.50</c:v>
                  </c:pt>
                  <c:pt idx="15">
                    <c:v>$368,481.90</c:v>
                  </c:pt>
                  <c:pt idx="16">
                    <c:v>$443,245.42</c:v>
                  </c:pt>
                  <c:pt idx="17">
                    <c:v>$447,735.73</c:v>
                  </c:pt>
                  <c:pt idx="18">
                    <c:v>$455,340.16</c:v>
                  </c:pt>
                  <c:pt idx="19">
                    <c:v>$452,438.93</c:v>
                  </c:pt>
                  <c:pt idx="20">
                    <c:v>$433,900.43</c:v>
                  </c:pt>
                </c:lvl>
                <c:lvl>
                  <c:pt idx="0">
                    <c:v>$2,531,762.82</c:v>
                  </c:pt>
                  <c:pt idx="1">
                    <c:v>$2,727,734.78</c:v>
                  </c:pt>
                  <c:pt idx="2">
                    <c:v>$2,947,116.63</c:v>
                  </c:pt>
                  <c:pt idx="3">
                    <c:v>$2,200,515.29</c:v>
                  </c:pt>
                  <c:pt idx="4">
                    <c:v>$2,854,110.42</c:v>
                  </c:pt>
                  <c:pt idx="5">
                    <c:v>$2,851,177.13</c:v>
                  </c:pt>
                  <c:pt idx="6">
                    <c:v>$2,912,625.05</c:v>
                  </c:pt>
                  <c:pt idx="7">
                    <c:v>$3,001,294.23</c:v>
                  </c:pt>
                  <c:pt idx="8">
                    <c:v>$2,799,074.29</c:v>
                  </c:pt>
                  <c:pt idx="9">
                    <c:v>$2,788,994.18</c:v>
                  </c:pt>
                  <c:pt idx="10">
                    <c:v>$2,760,723.02</c:v>
                  </c:pt>
                  <c:pt idx="11">
                    <c:v>$2,322,134.22</c:v>
                  </c:pt>
                  <c:pt idx="12">
                    <c:v>$2,682,959.14</c:v>
                  </c:pt>
                  <c:pt idx="13">
                    <c:v>$2,547,670.37</c:v>
                  </c:pt>
                  <c:pt idx="14">
                    <c:v>$2,709,953.12</c:v>
                  </c:pt>
                  <c:pt idx="15">
                    <c:v>$2,303,011.87</c:v>
                  </c:pt>
                  <c:pt idx="16">
                    <c:v>$2,770,283.84</c:v>
                  </c:pt>
                  <c:pt idx="17">
                    <c:v>$2,798,348.34</c:v>
                  </c:pt>
                  <c:pt idx="18">
                    <c:v>$2,845,875.98</c:v>
                  </c:pt>
                  <c:pt idx="19">
                    <c:v>$2,827,743.30</c:v>
                  </c:pt>
                  <c:pt idx="20">
                    <c:v>$2,711,877.70</c:v>
                  </c:pt>
                </c:lvl>
                <c:lvl>
                  <c:pt idx="0">
                    <c:v>$7,572.57</c:v>
                  </c:pt>
                  <c:pt idx="1">
                    <c:v>$13,570.82</c:v>
                  </c:pt>
                  <c:pt idx="2">
                    <c:v>$14,662.27</c:v>
                  </c:pt>
                  <c:pt idx="3">
                    <c:v>$0.00</c:v>
                  </c:pt>
                  <c:pt idx="4">
                    <c:v>$33,843.21</c:v>
                  </c:pt>
                  <c:pt idx="5">
                    <c:v>$33,808.42</c:v>
                  </c:pt>
                  <c:pt idx="6">
                    <c:v>$28,837.87</c:v>
                  </c:pt>
                  <c:pt idx="7">
                    <c:v>$26,770.71</c:v>
                  </c:pt>
                  <c:pt idx="8">
                    <c:v>$22,214.88</c:v>
                  </c:pt>
                  <c:pt idx="9">
                    <c:v>$16,634.16</c:v>
                  </c:pt>
                  <c:pt idx="10">
                    <c:v>$13,734.94</c:v>
                  </c:pt>
                  <c:pt idx="11">
                    <c:v>$9,251.53</c:v>
                  </c:pt>
                  <c:pt idx="12">
                    <c:v>$8,024.80</c:v>
                  </c:pt>
                  <c:pt idx="13">
                    <c:v>$12,674.98</c:v>
                  </c:pt>
                  <c:pt idx="14">
                    <c:v>$21,507.56</c:v>
                  </c:pt>
                  <c:pt idx="15">
                    <c:v>$27,308.44</c:v>
                  </c:pt>
                  <c:pt idx="16">
                    <c:v>$27,428.55</c:v>
                  </c:pt>
                  <c:pt idx="17">
                    <c:v>$24,960.49</c:v>
                  </c:pt>
                  <c:pt idx="18">
                    <c:v>$25,384.42</c:v>
                  </c:pt>
                  <c:pt idx="19">
                    <c:v>$14,068.37</c:v>
                  </c:pt>
                  <c:pt idx="20">
                    <c:v>$16,174.22</c:v>
                  </c:pt>
                </c:lvl>
                <c:lvl>
                  <c:pt idx="0">
                    <c:v>0.30%</c:v>
                  </c:pt>
                  <c:pt idx="1">
                    <c:v>0.50%</c:v>
                  </c:pt>
                  <c:pt idx="2">
                    <c:v>0.50%</c:v>
                  </c:pt>
                  <c:pt idx="3">
                    <c:v>0.00%</c:v>
                  </c:pt>
                  <c:pt idx="4">
                    <c:v>1.20%</c:v>
                  </c:pt>
                  <c:pt idx="5">
                    <c:v>1.20%</c:v>
                  </c:pt>
                  <c:pt idx="6">
                    <c:v>1.00%</c:v>
                  </c:pt>
                  <c:pt idx="7">
                    <c:v>0.90%</c:v>
                  </c:pt>
                  <c:pt idx="8">
                    <c:v>0.80%</c:v>
                  </c:pt>
                  <c:pt idx="9">
                    <c:v>0.60%</c:v>
                  </c:pt>
                  <c:pt idx="10">
                    <c:v>0.50%</c:v>
                  </c:pt>
                  <c:pt idx="11">
                    <c:v>0.40%</c:v>
                  </c:pt>
                  <c:pt idx="12">
                    <c:v>0.30%</c:v>
                  </c:pt>
                  <c:pt idx="13">
                    <c:v>0.50%</c:v>
                  </c:pt>
                  <c:pt idx="14">
                    <c:v>0.80%</c:v>
                  </c:pt>
                  <c:pt idx="15">
                    <c:v>1.20%</c:v>
                  </c:pt>
                  <c:pt idx="16">
                    <c:v>1.00%</c:v>
                  </c:pt>
                  <c:pt idx="17">
                    <c:v>0.90%</c:v>
                  </c:pt>
                  <c:pt idx="18">
                    <c:v>0.90%</c:v>
                  </c:pt>
                  <c:pt idx="19">
                    <c:v>0.50%</c:v>
                  </c:pt>
                  <c:pt idx="20">
                    <c:v>0.60%</c:v>
                  </c:pt>
                </c:lvl>
                <c:lvl>
                  <c:pt idx="0">
                    <c:v>$2,523,827.65</c:v>
                  </c:pt>
                  <c:pt idx="1">
                    <c:v>$2,713,801.36</c:v>
                  </c:pt>
                  <c:pt idx="2">
                    <c:v>$2,932,091.76</c:v>
                  </c:pt>
                  <c:pt idx="3">
                    <c:v>$2,200,152.69</c:v>
                  </c:pt>
                  <c:pt idx="4">
                    <c:v>$2,819,904.61</c:v>
                  </c:pt>
                  <c:pt idx="5">
                    <c:v>$2,817,006.11</c:v>
                  </c:pt>
                  <c:pt idx="6">
                    <c:v>$2,883,424.57</c:v>
                  </c:pt>
                  <c:pt idx="7">
                    <c:v>$2,974,160.92</c:v>
                  </c:pt>
                  <c:pt idx="8">
                    <c:v>$2,776,496.81</c:v>
                  </c:pt>
                  <c:pt idx="9">
                    <c:v>$2,771,997.42</c:v>
                  </c:pt>
                  <c:pt idx="10">
                    <c:v>$2,746,625.48</c:v>
                  </c:pt>
                  <c:pt idx="11">
                    <c:v>$2,312,520.09</c:v>
                  </c:pt>
                  <c:pt idx="12">
                    <c:v>$2,674,565.39</c:v>
                  </c:pt>
                  <c:pt idx="13">
                    <c:v>$2,534,626.44</c:v>
                  </c:pt>
                  <c:pt idx="14">
                    <c:v>$2,688,076.61</c:v>
                  </c:pt>
                  <c:pt idx="15">
                    <c:v>$2,275,334.48</c:v>
                  </c:pt>
                  <c:pt idx="16">
                    <c:v>$2,742,486.34</c:v>
                  </c:pt>
                  <c:pt idx="17">
                    <c:v>$2,773,018.90</c:v>
                  </c:pt>
                  <c:pt idx="18">
                    <c:v>$2,820,122.61</c:v>
                  </c:pt>
                  <c:pt idx="19">
                    <c:v>$2,813,305.98</c:v>
                  </c:pt>
                  <c:pt idx="20">
                    <c:v>$2,695,334.53</c:v>
                  </c:pt>
                </c:lvl>
                <c:lvl>
                  <c:pt idx="0">
                    <c:v>$727,905.75</c:v>
                  </c:pt>
                  <c:pt idx="1">
                    <c:v>$785,361.39</c:v>
                  </c:pt>
                  <c:pt idx="2">
                    <c:v>$754,425.62</c:v>
                  </c:pt>
                  <c:pt idx="3">
                    <c:v>$42,889.35</c:v>
                  </c:pt>
                  <c:pt idx="4">
                    <c:v>$795,291.09</c:v>
                  </c:pt>
                  <c:pt idx="5">
                    <c:v>$805,094.37</c:v>
                  </c:pt>
                  <c:pt idx="6">
                    <c:v>$799,718.08</c:v>
                  </c:pt>
                  <c:pt idx="7">
                    <c:v>$811,328.05</c:v>
                  </c:pt>
                  <c:pt idx="8">
                    <c:v>$787,216.02</c:v>
                  </c:pt>
                  <c:pt idx="9">
                    <c:v>$738,932.80</c:v>
                  </c:pt>
                  <c:pt idx="10">
                    <c:v>$765,607.83</c:v>
                  </c:pt>
                  <c:pt idx="11">
                    <c:v>$737,018.47</c:v>
                  </c:pt>
                  <c:pt idx="12">
                    <c:v>$738,819.38</c:v>
                  </c:pt>
                  <c:pt idx="13">
                    <c:v>$758,989.74</c:v>
                  </c:pt>
                  <c:pt idx="14">
                    <c:v>$764,803.41</c:v>
                  </c:pt>
                  <c:pt idx="15">
                    <c:v>$764,381.10</c:v>
                  </c:pt>
                  <c:pt idx="16">
                    <c:v>$772,827.30</c:v>
                  </c:pt>
                  <c:pt idx="17">
                    <c:v>$803,720.06</c:v>
                  </c:pt>
                  <c:pt idx="18">
                    <c:v>$799,530.04</c:v>
                  </c:pt>
                  <c:pt idx="19">
                    <c:v>$783,943.12</c:v>
                  </c:pt>
                  <c:pt idx="20">
                    <c:v>$781,560.95</c:v>
                  </c:pt>
                </c:lvl>
                <c:lvl>
                  <c:pt idx="0">
                    <c:v>$184,676.25</c:v>
                  </c:pt>
                  <c:pt idx="1">
                    <c:v>$198,107.25</c:v>
                  </c:pt>
                  <c:pt idx="2">
                    <c:v>$204,721.00</c:v>
                  </c:pt>
                  <c:pt idx="3">
                    <c:v>$204,721.00</c:v>
                  </c:pt>
                  <c:pt idx="4">
                    <c:v>$198,107.25</c:v>
                  </c:pt>
                  <c:pt idx="5">
                    <c:v>$200,549.25</c:v>
                  </c:pt>
                  <c:pt idx="6">
                    <c:v>$194,444.25</c:v>
                  </c:pt>
                  <c:pt idx="7">
                    <c:v>$195,868.75</c:v>
                  </c:pt>
                  <c:pt idx="8">
                    <c:v>$189,967.25</c:v>
                  </c:pt>
                  <c:pt idx="9">
                    <c:v>$188,034.00</c:v>
                  </c:pt>
                  <c:pt idx="10">
                    <c:v>$184,065.75</c:v>
                  </c:pt>
                  <c:pt idx="11">
                    <c:v>$189,255.00</c:v>
                  </c:pt>
                  <c:pt idx="12">
                    <c:v>$189,404.80</c:v>
                  </c:pt>
                  <c:pt idx="13">
                    <c:v>$183,485.90</c:v>
                  </c:pt>
                  <c:pt idx="14">
                    <c:v>$184,812.55</c:v>
                  </c:pt>
                  <c:pt idx="15">
                    <c:v>$187,434.07</c:v>
                  </c:pt>
                  <c:pt idx="16">
                    <c:v>$188,792.50</c:v>
                  </c:pt>
                  <c:pt idx="17">
                    <c:v>$189,915.05</c:v>
                  </c:pt>
                  <c:pt idx="18">
                    <c:v>$185,935.10</c:v>
                  </c:pt>
                  <c:pt idx="19">
                    <c:v>$183,894.10</c:v>
                  </c:pt>
                  <c:pt idx="20">
                    <c:v>$183,179.75</c:v>
                  </c:pt>
                </c:lvl>
                <c:lvl>
                  <c:pt idx="0">
                    <c:v>$308,847.95</c:v>
                  </c:pt>
                  <c:pt idx="1">
                    <c:v>$328,503.57</c:v>
                  </c:pt>
                  <c:pt idx="2">
                    <c:v>$355,295.29</c:v>
                  </c:pt>
                  <c:pt idx="3">
                    <c:v>$203,590.27</c:v>
                  </c:pt>
                  <c:pt idx="4">
                    <c:v>$163,278.78</c:v>
                  </c:pt>
                  <c:pt idx="5">
                    <c:v>$159,306.03</c:v>
                  </c:pt>
                  <c:pt idx="6">
                    <c:v>$178,193.47</c:v>
                  </c:pt>
                  <c:pt idx="7">
                    <c:v>$178,632.61</c:v>
                  </c:pt>
                  <c:pt idx="8">
                    <c:v>$158,063.87</c:v>
                  </c:pt>
                  <c:pt idx="9">
                    <c:v>$199,964.51</c:v>
                  </c:pt>
                  <c:pt idx="10">
                    <c:v>$342,319.61</c:v>
                  </c:pt>
                  <c:pt idx="11">
                    <c:v>$259,868.40</c:v>
                  </c:pt>
                  <c:pt idx="12">
                    <c:v>$343,169.19</c:v>
                  </c:pt>
                  <c:pt idx="13">
                    <c:v>$314,088.63</c:v>
                  </c:pt>
                  <c:pt idx="14">
                    <c:v>$333,514.16</c:v>
                  </c:pt>
                  <c:pt idx="15">
                    <c:v>$129,076.53</c:v>
                  </c:pt>
                  <c:pt idx="16">
                    <c:v>$163,609.04</c:v>
                  </c:pt>
                  <c:pt idx="17">
                    <c:v>$161,531.31</c:v>
                  </c:pt>
                  <c:pt idx="18">
                    <c:v>$174,133.65</c:v>
                  </c:pt>
                  <c:pt idx="19">
                    <c:v>$162,733.00</c:v>
                  </c:pt>
                  <c:pt idx="20">
                    <c:v>$157,959.86</c:v>
                  </c:pt>
                </c:lvl>
                <c:lvl>
                  <c:pt idx="0">
                    <c:v>$1,008,360.25</c:v>
                  </c:pt>
                  <c:pt idx="1">
                    <c:v>$1,074,400.31</c:v>
                  </c:pt>
                  <c:pt idx="2">
                    <c:v>$1,248,783.11</c:v>
                  </c:pt>
                  <c:pt idx="3">
                    <c:v>$1,381,986.70</c:v>
                  </c:pt>
                  <c:pt idx="4">
                    <c:v>$1,294,737.76</c:v>
                  </c:pt>
                  <c:pt idx="5">
                    <c:v>$1,286,822.97</c:v>
                  </c:pt>
                  <c:pt idx="6">
                    <c:v>$1,363,811.29</c:v>
                  </c:pt>
                  <c:pt idx="7">
                    <c:v>$1,416,522.48</c:v>
                  </c:pt>
                  <c:pt idx="8">
                    <c:v>$1,271,155.20</c:v>
                  </c:pt>
                  <c:pt idx="9">
                    <c:v>$1,285,313.15</c:v>
                  </c:pt>
                  <c:pt idx="10">
                    <c:v>$1,098,790.79</c:v>
                  </c:pt>
                  <c:pt idx="11">
                    <c:v>$831,661.35</c:v>
                  </c:pt>
                  <c:pt idx="12">
                    <c:v>$1,078,026.43</c:v>
                  </c:pt>
                  <c:pt idx="13">
                    <c:v>$962,691.85</c:v>
                  </c:pt>
                  <c:pt idx="14">
                    <c:v>$1,050,830.64</c:v>
                  </c:pt>
                  <c:pt idx="15">
                    <c:v>$937,383.42</c:v>
                  </c:pt>
                  <c:pt idx="16">
                    <c:v>$1,265,279.21</c:v>
                  </c:pt>
                  <c:pt idx="17">
                    <c:v>$1,264,248.36</c:v>
                  </c:pt>
                  <c:pt idx="18">
                    <c:v>$1,322,411.97</c:v>
                  </c:pt>
                  <c:pt idx="19">
                    <c:v>$1,321,038.15</c:v>
                  </c:pt>
                  <c:pt idx="20">
                    <c:v>$1,246,004.72</c:v>
                  </c:pt>
                </c:lvl>
                <c:lvl>
                  <c:pt idx="0">
                    <c:v>$294,037.45</c:v>
                  </c:pt>
                  <c:pt idx="1">
                    <c:v>$327,428.85</c:v>
                  </c:pt>
                  <c:pt idx="2">
                    <c:v>$368,866.75</c:v>
                  </c:pt>
                  <c:pt idx="3">
                    <c:v>$366,965.38</c:v>
                  </c:pt>
                  <c:pt idx="4">
                    <c:v>$368,489.73</c:v>
                  </c:pt>
                  <c:pt idx="5">
                    <c:v>$365,233.49</c:v>
                  </c:pt>
                  <c:pt idx="6">
                    <c:v>$347,257.49</c:v>
                  </c:pt>
                  <c:pt idx="7">
                    <c:v>$371,809.04</c:v>
                  </c:pt>
                  <c:pt idx="8">
                    <c:v>$370,094.47</c:v>
                  </c:pt>
                  <c:pt idx="9">
                    <c:v>$359,752.96</c:v>
                  </c:pt>
                  <c:pt idx="10">
                    <c:v>$355,841.51</c:v>
                  </c:pt>
                  <c:pt idx="11">
                    <c:v>$294,716.87</c:v>
                  </c:pt>
                  <c:pt idx="12">
                    <c:v>$325,145.59</c:v>
                  </c:pt>
                  <c:pt idx="13">
                    <c:v>$315,370.33</c:v>
                  </c:pt>
                  <c:pt idx="14">
                    <c:v>$354,115.85</c:v>
                  </c:pt>
                  <c:pt idx="15">
                    <c:v>$257,059.36</c:v>
                  </c:pt>
                  <c:pt idx="16">
                    <c:v>$351,978.29</c:v>
                  </c:pt>
                  <c:pt idx="17">
                    <c:v>$353,604.12</c:v>
                  </c:pt>
                  <c:pt idx="18">
                    <c:v>$338,111.85</c:v>
                  </c:pt>
                  <c:pt idx="19">
                    <c:v>$361,697.60</c:v>
                  </c:pt>
                  <c:pt idx="20">
                    <c:v>$326,629.24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1836.688596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$401.05</c:v>
                  </c:pt>
                  <c:pt idx="1">
                    <c:v>$403.37</c:v>
                  </c:pt>
                  <c:pt idx="2">
                    <c:v>$408.46</c:v>
                  </c:pt>
                  <c:pt idx="3">
                    <c:v>$408.47</c:v>
                  </c:pt>
                  <c:pt idx="4">
                    <c:v>$408.47</c:v>
                  </c:pt>
                  <c:pt idx="5">
                    <c:v>$408.47</c:v>
                  </c:pt>
                  <c:pt idx="6">
                    <c:v>$420.02</c:v>
                  </c:pt>
                  <c:pt idx="7">
                    <c:v>$423.67</c:v>
                  </c:pt>
                  <c:pt idx="8">
                    <c:v>$423.69</c:v>
                  </c:pt>
                  <c:pt idx="9">
                    <c:v>$423.70</c:v>
                  </c:pt>
                  <c:pt idx="10">
                    <c:v>$423.69</c:v>
                  </c:pt>
                  <c:pt idx="11">
                    <c:v>$416.63</c:v>
                  </c:pt>
                  <c:pt idx="12">
                    <c:v>$421.46</c:v>
                  </c:pt>
                  <c:pt idx="13">
                    <c:v>$422.13</c:v>
                  </c:pt>
                  <c:pt idx="14">
                    <c:v>$422.31</c:v>
                  </c:pt>
                  <c:pt idx="15">
                    <c:v>$422.31</c:v>
                  </c:pt>
                  <c:pt idx="16">
                    <c:v>$422.31</c:v>
                  </c:pt>
                  <c:pt idx="17">
                    <c:v>$432.34</c:v>
                  </c:pt>
                  <c:pt idx="18">
                    <c:v>$438.82</c:v>
                  </c:pt>
                  <c:pt idx="19">
                    <c:v>$439.43</c:v>
                  </c:pt>
                  <c:pt idx="20">
                    <c:v>$435.41</c:v>
                  </c:pt>
                </c:lvl>
                <c:lvl>
                  <c:pt idx="0">
                    <c:v>$101.75</c:v>
                  </c:pt>
                  <c:pt idx="1">
                    <c:v>$101.75</c:v>
                  </c:pt>
                  <c:pt idx="2">
                    <c:v>$101.75</c:v>
                  </c:pt>
                  <c:pt idx="3">
                    <c:v>$101.75</c:v>
                  </c:pt>
                  <c:pt idx="4">
                    <c:v>$101.75</c:v>
                  </c:pt>
                  <c:pt idx="5">
                    <c:v>$101.75</c:v>
                  </c:pt>
                  <c:pt idx="6">
                    <c:v>$101.75</c:v>
                  </c:pt>
                  <c:pt idx="7">
                    <c:v>$101.75</c:v>
                  </c:pt>
                  <c:pt idx="8">
                    <c:v>$101.75</c:v>
                  </c:pt>
                  <c:pt idx="9">
                    <c:v>$101.75</c:v>
                  </c:pt>
                  <c:pt idx="10">
                    <c:v>$101.75</c:v>
                  </c:pt>
                  <c:pt idx="11">
                    <c:v>$101.75</c:v>
                  </c:pt>
                  <c:pt idx="12">
                    <c:v>$102.05</c:v>
                  </c:pt>
                  <c:pt idx="13">
                    <c:v>$102.05</c:v>
                  </c:pt>
                  <c:pt idx="14">
                    <c:v>$102.05</c:v>
                  </c:pt>
                  <c:pt idx="15">
                    <c:v>$102.05</c:v>
                  </c:pt>
                  <c:pt idx="16">
                    <c:v>$102.05</c:v>
                  </c:pt>
                  <c:pt idx="17">
                    <c:v>$102.05</c:v>
                  </c:pt>
                  <c:pt idx="18">
                    <c:v>$102.05</c:v>
                  </c:pt>
                  <c:pt idx="19">
                    <c:v>$102.05</c:v>
                  </c:pt>
                  <c:pt idx="20">
                    <c:v>$102.05</c:v>
                  </c:pt>
                </c:lvl>
                <c:lvl>
                  <c:pt idx="0">
                    <c:v>$2.18</c:v>
                  </c:pt>
                  <c:pt idx="1">
                    <c:v>$2.19</c:v>
                  </c:pt>
                  <c:pt idx="2">
                    <c:v>$2.21</c:v>
                  </c:pt>
                  <c:pt idx="3">
                    <c:v>$2.21</c:v>
                  </c:pt>
                  <c:pt idx="4">
                    <c:v>$2.21</c:v>
                  </c:pt>
                  <c:pt idx="5">
                    <c:v>$2.21</c:v>
                  </c:pt>
                  <c:pt idx="6">
                    <c:v>$2.27</c:v>
                  </c:pt>
                  <c:pt idx="7">
                    <c:v>$2.29</c:v>
                  </c:pt>
                  <c:pt idx="8">
                    <c:v>$2.29</c:v>
                  </c:pt>
                  <c:pt idx="9">
                    <c:v>$2.29</c:v>
                  </c:pt>
                  <c:pt idx="10">
                    <c:v>$2.29</c:v>
                  </c:pt>
                  <c:pt idx="11">
                    <c:v>$2.25</c:v>
                  </c:pt>
                  <c:pt idx="12">
                    <c:v>$2.28</c:v>
                  </c:pt>
                  <c:pt idx="13">
                    <c:v>$2.28</c:v>
                  </c:pt>
                  <c:pt idx="14">
                    <c:v>$2.28</c:v>
                  </c:pt>
                  <c:pt idx="15">
                    <c:v>$2.28</c:v>
                  </c:pt>
                  <c:pt idx="16">
                    <c:v>$2.28</c:v>
                  </c:pt>
                  <c:pt idx="17">
                    <c:v>$2.33</c:v>
                  </c:pt>
                  <c:pt idx="18">
                    <c:v>$2.37</c:v>
                  </c:pt>
                  <c:pt idx="19">
                    <c:v>$2.37</c:v>
                  </c:pt>
                  <c:pt idx="20">
                    <c:v>$2.35</c:v>
                  </c:pt>
                </c:lvl>
                <c:lvl>
                  <c:pt idx="0">
                    <c:v>$1.91</c:v>
                  </c:pt>
                  <c:pt idx="1">
                    <c:v>$1.92</c:v>
                  </c:pt>
                  <c:pt idx="2">
                    <c:v>$1.94</c:v>
                  </c:pt>
                  <c:pt idx="3">
                    <c:v>$1.94</c:v>
                  </c:pt>
                  <c:pt idx="4">
                    <c:v>$1.94</c:v>
                  </c:pt>
                  <c:pt idx="5">
                    <c:v>$1.94</c:v>
                  </c:pt>
                  <c:pt idx="6">
                    <c:v>$1.99</c:v>
                  </c:pt>
                  <c:pt idx="7">
                    <c:v>$2.01</c:v>
                  </c:pt>
                  <c:pt idx="8">
                    <c:v>$2.01</c:v>
                  </c:pt>
                  <c:pt idx="9">
                    <c:v>$2.01</c:v>
                  </c:pt>
                  <c:pt idx="10">
                    <c:v>$2.01</c:v>
                  </c:pt>
                  <c:pt idx="11">
                    <c:v>$1.97</c:v>
                  </c:pt>
                  <c:pt idx="12">
                    <c:v>$2.00</c:v>
                  </c:pt>
                  <c:pt idx="13">
                    <c:v>$2.00</c:v>
                  </c:pt>
                  <c:pt idx="14">
                    <c:v>$2.00</c:v>
                  </c:pt>
                  <c:pt idx="15">
                    <c:v>$2.00</c:v>
                  </c:pt>
                  <c:pt idx="16">
                    <c:v>$2.00</c:v>
                  </c:pt>
                  <c:pt idx="17">
                    <c:v>$2.05</c:v>
                  </c:pt>
                  <c:pt idx="18">
                    <c:v>$2.07</c:v>
                  </c:pt>
                  <c:pt idx="19">
                    <c:v>$2.08</c:v>
                  </c:pt>
                  <c:pt idx="20">
                    <c:v>$2.06</c:v>
                  </c:pt>
                </c:lvl>
                <c:lvl>
                  <c:pt idx="0">
                    <c:v>$1.07</c:v>
                  </c:pt>
                  <c:pt idx="1">
                    <c:v>$1.08</c:v>
                  </c:pt>
                  <c:pt idx="2">
                    <c:v>$1.09</c:v>
                  </c:pt>
                  <c:pt idx="3">
                    <c:v>$1.09</c:v>
                  </c:pt>
                  <c:pt idx="4">
                    <c:v>$1.09</c:v>
                  </c:pt>
                  <c:pt idx="5">
                    <c:v>$1.09</c:v>
                  </c:pt>
                  <c:pt idx="6">
                    <c:v>$1.11</c:v>
                  </c:pt>
                  <c:pt idx="7">
                    <c:v>$1.12</c:v>
                  </c:pt>
                  <c:pt idx="8">
                    <c:v>$1.12</c:v>
                  </c:pt>
                  <c:pt idx="9">
                    <c:v>$1.12</c:v>
                  </c:pt>
                  <c:pt idx="10">
                    <c:v>$1.12</c:v>
                  </c:pt>
                  <c:pt idx="11">
                    <c:v>$1.10</c:v>
                  </c:pt>
                  <c:pt idx="12">
                    <c:v>$1.12</c:v>
                  </c:pt>
                  <c:pt idx="13">
                    <c:v>$1.12</c:v>
                  </c:pt>
                  <c:pt idx="14">
                    <c:v>$1.12</c:v>
                  </c:pt>
                  <c:pt idx="15">
                    <c:v>$1.12</c:v>
                  </c:pt>
                  <c:pt idx="16">
                    <c:v>$1.12</c:v>
                  </c:pt>
                  <c:pt idx="17">
                    <c:v>$1.14</c:v>
                  </c:pt>
                  <c:pt idx="18">
                    <c:v>$1.16</c:v>
                  </c:pt>
                  <c:pt idx="19">
                    <c:v>$1.16</c:v>
                  </c:pt>
                  <c:pt idx="20">
                    <c:v>$1.15</c:v>
                  </c:pt>
                </c:lvl>
                <c:lvl>
                  <c:pt idx="0">
                    <c:v>$362.60</c:v>
                  </c:pt>
                  <c:pt idx="1">
                    <c:v>$362.60</c:v>
                  </c:pt>
                  <c:pt idx="2">
                    <c:v>$362.60</c:v>
                  </c:pt>
                  <c:pt idx="3">
                    <c:v>$362.60</c:v>
                  </c:pt>
                  <c:pt idx="4">
                    <c:v>$362.60</c:v>
                  </c:pt>
                  <c:pt idx="5">
                    <c:v>$362.60</c:v>
                  </c:pt>
                  <c:pt idx="6">
                    <c:v>$362.60</c:v>
                  </c:pt>
                  <c:pt idx="7">
                    <c:v>$362.60</c:v>
                  </c:pt>
                  <c:pt idx="8">
                    <c:v>$362.60</c:v>
                  </c:pt>
                  <c:pt idx="9">
                    <c:v>$362.60</c:v>
                  </c:pt>
                  <c:pt idx="10">
                    <c:v>$362.60</c:v>
                  </c:pt>
                  <c:pt idx="11">
                    <c:v>$362.60</c:v>
                  </c:pt>
                  <c:pt idx="12">
                    <c:v>$368.95</c:v>
                  </c:pt>
                  <c:pt idx="13">
                    <c:v>$368.95</c:v>
                  </c:pt>
                  <c:pt idx="14">
                    <c:v>$368.95</c:v>
                  </c:pt>
                  <c:pt idx="15">
                    <c:v>$368.95</c:v>
                  </c:pt>
                  <c:pt idx="16">
                    <c:v>$368.95</c:v>
                  </c:pt>
                  <c:pt idx="17">
                    <c:v>$368.95</c:v>
                  </c:pt>
                  <c:pt idx="18">
                    <c:v>$368.95</c:v>
                  </c:pt>
                  <c:pt idx="19">
                    <c:v>$368.95</c:v>
                  </c:pt>
                  <c:pt idx="20">
                    <c:v>$368.95</c:v>
                  </c:pt>
                </c:lvl>
                <c:lvl>
                  <c:pt idx="0">
                    <c:v>94.56</c:v>
                  </c:pt>
                  <c:pt idx="1">
                    <c:v>94.19</c:v>
                  </c:pt>
                  <c:pt idx="2">
                    <c:v>94.28</c:v>
                  </c:pt>
                  <c:pt idx="3">
                    <c:v>94.93</c:v>
                  </c:pt>
                  <c:pt idx="4">
                    <c:v>93.13</c:v>
                  </c:pt>
                  <c:pt idx="5">
                    <c:v>93.14</c:v>
                  </c:pt>
                  <c:pt idx="6">
                    <c:v>93.39</c:v>
                  </c:pt>
                  <c:pt idx="7">
                    <c:v>93.66</c:v>
                  </c:pt>
                  <c:pt idx="8">
                    <c:v>93.76</c:v>
                  </c:pt>
                  <c:pt idx="9">
                    <c:v>94.1</c:v>
                  </c:pt>
                  <c:pt idx="10">
                    <c:v>94.17</c:v>
                  </c:pt>
                  <c:pt idx="11">
                    <c:v>94.32</c:v>
                  </c:pt>
                  <c:pt idx="12">
                    <c:v>94.57</c:v>
                  </c:pt>
                  <c:pt idx="13">
                    <c:v>94.2</c:v>
                  </c:pt>
                  <c:pt idx="14">
                    <c:v>93.81</c:v>
                  </c:pt>
                  <c:pt idx="15">
                    <c:v>93.14</c:v>
                  </c:pt>
                  <c:pt idx="16">
                    <c:v>93.4</c:v>
                  </c:pt>
                  <c:pt idx="17">
                    <c:v>93.59</c:v>
                  </c:pt>
                  <c:pt idx="18">
                    <c:v>93.67</c:v>
                  </c:pt>
                  <c:pt idx="19">
                    <c:v>94.27</c:v>
                  </c:pt>
                  <c:pt idx="20">
                    <c:v>94.01</c:v>
                  </c:pt>
                </c:lvl>
                <c:lvl>
                  <c:pt idx="0">
                    <c:v>325156</c:v>
                  </c:pt>
                  <c:pt idx="1">
                    <c:v>361949</c:v>
                  </c:pt>
                  <c:pt idx="2">
                    <c:v>404533</c:v>
                  </c:pt>
                  <c:pt idx="3">
                    <c:v>378731</c:v>
                  </c:pt>
                  <c:pt idx="4">
                    <c:v>422677</c:v>
                  </c:pt>
                  <c:pt idx="5">
                    <c:v>418685</c:v>
                  </c:pt>
                  <c:pt idx="6">
                    <c:v>412155</c:v>
                  </c:pt>
                  <c:pt idx="7">
                    <c:v>417877</c:v>
                  </c:pt>
                  <c:pt idx="8">
                    <c:v>383440</c:v>
                  </c:pt>
                  <c:pt idx="9">
                    <c:v>383597</c:v>
                  </c:pt>
                  <c:pt idx="10">
                    <c:v>362838</c:v>
                  </c:pt>
                  <c:pt idx="11">
                    <c:v>282886</c:v>
                  </c:pt>
                  <c:pt idx="12">
                    <c:v>336846</c:v>
                  </c:pt>
                  <c:pt idx="13">
                    <c:v>320568</c:v>
                  </c:pt>
                  <c:pt idx="14">
                    <c:v>364109</c:v>
                  </c:pt>
                  <c:pt idx="15">
                    <c:v>378000</c:v>
                  </c:pt>
                  <c:pt idx="16">
                    <c:v>389248</c:v>
                  </c:pt>
                  <c:pt idx="17">
                    <c:v>375229</c:v>
                  </c:pt>
                  <c:pt idx="18">
                    <c:v>374983</c:v>
                  </c:pt>
                  <c:pt idx="19">
                    <c:v>360110</c:v>
                  </c:pt>
                  <c:pt idx="20">
                    <c:v>345944</c:v>
                  </c:pt>
                </c:lvl>
                <c:lvl>
                  <c:pt idx="0">
                    <c:v>2228.82</c:v>
                  </c:pt>
                  <c:pt idx="1">
                    <c:v>2558.21</c:v>
                  </c:pt>
                  <c:pt idx="2">
                    <c:v>2697.36</c:v>
                  </c:pt>
                  <c:pt idx="3">
                    <c:v>2783.11</c:v>
                  </c:pt>
                  <c:pt idx="4">
                    <c:v>2547.62</c:v>
                  </c:pt>
                  <c:pt idx="5">
                    <c:v>2610.92</c:v>
                  </c:pt>
                  <c:pt idx="6">
                    <c:v>2538.14</c:v>
                  </c:pt>
                  <c:pt idx="7">
                    <c:v>2632.99</c:v>
                  </c:pt>
                  <c:pt idx="8">
                    <c:v>2518.37</c:v>
                  </c:pt>
                  <c:pt idx="9">
                    <c:v>2475.05</c:v>
                  </c:pt>
                  <c:pt idx="10">
                    <c:v>2474.18</c:v>
                  </c:pt>
                  <c:pt idx="11">
                    <c:v>1894.38</c:v>
                  </c:pt>
                  <c:pt idx="12">
                    <c:v>2311.38</c:v>
                  </c:pt>
                  <c:pt idx="13">
                    <c:v>2349.01</c:v>
                  </c:pt>
                  <c:pt idx="14">
                    <c:v>2326.18</c:v>
                  </c:pt>
                  <c:pt idx="15">
                    <c:v>1836.69</c:v>
                  </c:pt>
                  <c:pt idx="16">
                    <c:v>2398.75</c:v>
                  </c:pt>
                  <c:pt idx="17">
                    <c:v>2428.06</c:v>
                  </c:pt>
                  <c:pt idx="18">
                    <c:v>2366.10</c:v>
                  </c:pt>
                  <c:pt idx="19">
                    <c:v>2398.32</c:v>
                  </c:pt>
                  <c:pt idx="20">
                    <c:v>2324.72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2199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1798</c:v>
                  </c:pt>
                  <c:pt idx="1">
                    <c:v>1904</c:v>
                  </c:pt>
                  <c:pt idx="2">
                    <c:v>2012</c:v>
                  </c:pt>
                  <c:pt idx="3">
                    <c:v>1995</c:v>
                  </c:pt>
                  <c:pt idx="4">
                    <c:v>1928</c:v>
                  </c:pt>
                  <c:pt idx="5">
                    <c:v>1968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1713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1781</c:v>
                  </c:pt>
                  <c:pt idx="14">
                    <c:v>1805</c:v>
                  </c:pt>
                  <c:pt idx="15">
                    <c:v>1539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1777</c:v>
                  </c:pt>
                  <c:pt idx="19">
                    <c:v>1802</c:v>
                  </c:pt>
                  <c:pt idx="20">
                    <c:v>1760</c:v>
                  </c:pt>
                </c:lvl>
                <c:lvl>
                  <c:pt idx="0">
                    <c:v>1732</c:v>
                  </c:pt>
                  <c:pt idx="1">
                    <c:v>1749</c:v>
                  </c:pt>
                  <c:pt idx="2">
                    <c:v>1860</c:v>
                  </c:pt>
                  <c:pt idx="3">
                    <c:v>1698</c:v>
                  </c:pt>
                  <c:pt idx="4">
                    <c:v>1725</c:v>
                  </c:pt>
                  <c:pt idx="5">
                    <c:v>1720</c:v>
                  </c:pt>
                  <c:pt idx="6">
                    <c:v>1693</c:v>
                  </c:pt>
                  <c:pt idx="7">
                    <c:v>1743</c:v>
                  </c:pt>
                  <c:pt idx="8">
                    <c:v>1625</c:v>
                  </c:pt>
                  <c:pt idx="9">
                    <c:v>1538</c:v>
                  </c:pt>
                  <c:pt idx="10">
                    <c:v>1778</c:v>
                  </c:pt>
                  <c:pt idx="11">
                    <c:v>1705</c:v>
                  </c:pt>
                  <c:pt idx="12">
                    <c:v>1774</c:v>
                  </c:pt>
                  <c:pt idx="13">
                    <c:v>1695</c:v>
                  </c:pt>
                  <c:pt idx="14">
                    <c:v>1692</c:v>
                  </c:pt>
                  <c:pt idx="15">
                    <c:v>1759</c:v>
                  </c:pt>
                  <c:pt idx="16">
                    <c:v>1629</c:v>
                  </c:pt>
                  <c:pt idx="17">
                    <c:v>1593</c:v>
                  </c:pt>
                  <c:pt idx="18">
                    <c:v>1532</c:v>
                  </c:pt>
                  <c:pt idx="19">
                    <c:v>1524</c:v>
                  </c:pt>
                  <c:pt idx="20">
                    <c:v>1498</c:v>
                  </c:pt>
                </c:lvl>
                <c:lvl>
                  <c:pt idx="0">
                    <c:v>945199</c:v>
                  </c:pt>
                  <c:pt idx="1">
                    <c:v>1014895</c:v>
                  </c:pt>
                  <c:pt idx="2">
                    <c:v>1143898</c:v>
                  </c:pt>
                  <c:pt idx="3">
                    <c:v>1142190</c:v>
                  </c:pt>
                  <c:pt idx="4">
                    <c:v>1080393</c:v>
                  </c:pt>
                  <c:pt idx="5">
                    <c:v>1071520</c:v>
                  </c:pt>
                  <c:pt idx="6">
                    <c:v>1076376</c:v>
                  </c:pt>
                  <c:pt idx="7">
                    <c:v>1116598</c:v>
                  </c:pt>
                  <c:pt idx="8">
                    <c:v>1033537</c:v>
                  </c:pt>
                  <c:pt idx="9">
                    <c:v>1049618</c:v>
                  </c:pt>
                  <c:pt idx="10">
                    <c:v>1015403</c:v>
                  </c:pt>
                  <c:pt idx="11">
                    <c:v>803368</c:v>
                  </c:pt>
                  <c:pt idx="12">
                    <c:v>980209</c:v>
                  </c:pt>
                  <c:pt idx="13">
                    <c:v>899765</c:v>
                  </c:pt>
                  <c:pt idx="14">
                    <c:v>986487</c:v>
                  </c:pt>
                  <c:pt idx="15">
                    <c:v>753777</c:v>
                  </c:pt>
                  <c:pt idx="16">
                    <c:v>1017260</c:v>
                  </c:pt>
                  <c:pt idx="17">
                    <c:v>996476</c:v>
                  </c:pt>
                  <c:pt idx="18">
                    <c:v>1003415</c:v>
                  </c:pt>
                  <c:pt idx="19">
                    <c:v>1017081</c:v>
                  </c:pt>
                  <c:pt idx="20">
                    <c:v>954067</c:v>
                  </c:pt>
                </c:lvl>
                <c:lvl>
                  <c:pt idx="0">
                    <c:v>141986</c:v>
                  </c:pt>
                  <c:pt idx="1">
                    <c:v>150228</c:v>
                  </c:pt>
                  <c:pt idx="2">
                    <c:v>160629</c:v>
                  </c:pt>
                  <c:pt idx="3">
                    <c:v>92039</c:v>
                  </c:pt>
                  <c:pt idx="4">
                    <c:v>73815</c:v>
                  </c:pt>
                  <c:pt idx="5">
                    <c:v>72019</c:v>
                  </c:pt>
                  <c:pt idx="6">
                    <c:v>78527</c:v>
                  </c:pt>
                  <c:pt idx="7">
                    <c:v>78101</c:v>
                  </c:pt>
                  <c:pt idx="8">
                    <c:v>69105</c:v>
                  </c:pt>
                  <c:pt idx="9">
                    <c:v>87420</c:v>
                  </c:pt>
                  <c:pt idx="10">
                    <c:v>149661</c:v>
                  </c:pt>
                  <c:pt idx="11">
                    <c:v>115374</c:v>
                  </c:pt>
                  <c:pt idx="12">
                    <c:v>150493</c:v>
                  </c:pt>
                  <c:pt idx="13">
                    <c:v>137541</c:v>
                  </c:pt>
                  <c:pt idx="14">
                    <c:v>145990</c:v>
                  </c:pt>
                  <c:pt idx="15">
                    <c:v>56501</c:v>
                  </c:pt>
                  <c:pt idx="16">
                    <c:v>71617</c:v>
                  </c:pt>
                  <c:pt idx="17">
                    <c:v>69202</c:v>
                  </c:pt>
                  <c:pt idx="18">
                    <c:v>73589</c:v>
                  </c:pt>
                  <c:pt idx="19">
                    <c:v>68684</c:v>
                  </c:pt>
                  <c:pt idx="20">
                    <c:v>67117</c:v>
                  </c:pt>
                </c:lvl>
                <c:lvl>
                  <c:pt idx="0">
                    <c:v>528463</c:v>
                  </c:pt>
                  <c:pt idx="1">
                    <c:v>560167</c:v>
                  </c:pt>
                  <c:pt idx="2">
                    <c:v>643769</c:v>
                  </c:pt>
                  <c:pt idx="3">
                    <c:v>712401</c:v>
                  </c:pt>
                  <c:pt idx="4">
                    <c:v>667425</c:v>
                  </c:pt>
                  <c:pt idx="5">
                    <c:v>663345</c:v>
                  </c:pt>
                  <c:pt idx="6">
                    <c:v>685539</c:v>
                  </c:pt>
                  <c:pt idx="7">
                    <c:v>706495</c:v>
                  </c:pt>
                  <c:pt idx="8">
                    <c:v>633961</c:v>
                  </c:pt>
                  <c:pt idx="9">
                    <c:v>640990</c:v>
                  </c:pt>
                  <c:pt idx="10">
                    <c:v>547998</c:v>
                  </c:pt>
                  <c:pt idx="11">
                    <c:v>421137</c:v>
                  </c:pt>
                  <c:pt idx="12">
                    <c:v>539148</c:v>
                  </c:pt>
                  <c:pt idx="13">
                    <c:v>480769</c:v>
                  </c:pt>
                  <c:pt idx="14">
                    <c:v>524576</c:v>
                  </c:pt>
                  <c:pt idx="15">
                    <c:v>467943</c:v>
                  </c:pt>
                  <c:pt idx="16">
                    <c:v>631629</c:v>
                  </c:pt>
                  <c:pt idx="17">
                    <c:v>617882</c:v>
                  </c:pt>
                  <c:pt idx="18">
                    <c:v>637645</c:v>
                  </c:pt>
                  <c:pt idx="19">
                    <c:v>636185</c:v>
                  </c:pt>
                  <c:pt idx="20">
                    <c:v>603860</c:v>
                  </c:pt>
                </c:lvl>
                <c:lvl>
                  <c:pt idx="0">
                    <c:v>274750</c:v>
                  </c:pt>
                  <c:pt idx="1">
                    <c:v>304500</c:v>
                  </c:pt>
                  <c:pt idx="2">
                    <c:v>339500</c:v>
                  </c:pt>
                  <c:pt idx="3">
                    <c:v>337750</c:v>
                  </c:pt>
                  <c:pt idx="4">
                    <c:v>339153</c:v>
                  </c:pt>
                  <c:pt idx="5">
                    <c:v>336156</c:v>
                  </c:pt>
                  <c:pt idx="6">
                    <c:v>312310</c:v>
                  </c:pt>
                  <c:pt idx="7">
                    <c:v>332002</c:v>
                  </c:pt>
                  <c:pt idx="8">
                    <c:v>330471</c:v>
                  </c:pt>
                  <c:pt idx="9">
                    <c:v>321208</c:v>
                  </c:pt>
                  <c:pt idx="10">
                    <c:v>317744</c:v>
                  </c:pt>
                  <c:pt idx="11">
                    <c:v>266857</c:v>
                  </c:pt>
                  <c:pt idx="12">
                    <c:v>290568</c:v>
                  </c:pt>
                  <c:pt idx="13">
                    <c:v>281455</c:v>
                  </c:pt>
                  <c:pt idx="14">
                    <c:v>315921</c:v>
                  </c:pt>
                  <c:pt idx="15">
                    <c:v>229333</c:v>
                  </c:pt>
                  <c:pt idx="16">
                    <c:v>314014</c:v>
                  </c:pt>
                  <c:pt idx="17">
                    <c:v>309392</c:v>
                  </c:pt>
                  <c:pt idx="18">
                    <c:v>292181</c:v>
                  </c:pt>
                  <c:pt idx="19">
                    <c:v>312212</c:v>
                  </c:pt>
                  <c:pt idx="20">
                    <c:v>283090</c:v>
                  </c:pt>
                </c:lvl>
                <c:lvl>
                  <c:pt idx="0">
                    <c:v>31</c:v>
                  </c:pt>
                  <c:pt idx="1">
                    <c:v>29</c:v>
                  </c:pt>
                  <c:pt idx="2">
                    <c:v>31</c:v>
                  </c:pt>
                  <c:pt idx="3">
                    <c:v>30</c:v>
                  </c:pt>
                  <c:pt idx="4">
                    <c:v>31</c:v>
                  </c:pt>
                  <c:pt idx="5">
                    <c:v>30</c:v>
                  </c:pt>
                  <c:pt idx="6">
                    <c:v>31</c:v>
                  </c:pt>
                  <c:pt idx="7">
                    <c:v>31</c:v>
                  </c:pt>
                  <c:pt idx="8">
                    <c:v>30</c:v>
                  </c:pt>
                  <c:pt idx="9">
                    <c:v>31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31</c:v>
                  </c:pt>
                  <c:pt idx="13">
                    <c:v>28</c:v>
                  </c:pt>
                  <c:pt idx="14">
                    <c:v>31</c:v>
                  </c:pt>
                  <c:pt idx="15">
                    <c:v>30</c:v>
                  </c:pt>
                  <c:pt idx="16">
                    <c:v>31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31</c:v>
                  </c:pt>
                  <c:pt idx="20">
                    <c:v>30</c:v>
                  </c:pt>
                </c:lvl>
                <c:lvl>
                  <c:pt idx="0">
                    <c:v>31/01/2024</c:v>
                  </c:pt>
                  <c:pt idx="1">
                    <c:v>29/02/2024</c:v>
                  </c:pt>
                  <c:pt idx="2">
                    <c:v>31/03/2024</c:v>
                  </c:pt>
                  <c:pt idx="3">
                    <c:v>30/04/2024</c:v>
                  </c:pt>
                  <c:pt idx="4">
                    <c:v>31/05/2024</c:v>
                  </c:pt>
                  <c:pt idx="5">
                    <c:v>30/06/2024</c:v>
                  </c:pt>
                  <c:pt idx="6">
                    <c:v>31/07/2024</c:v>
                  </c:pt>
                  <c:pt idx="7">
                    <c:v>31/08/2024</c:v>
                  </c:pt>
                  <c:pt idx="8">
                    <c:v>30/09/2024</c:v>
                  </c:pt>
                  <c:pt idx="9">
                    <c:v>31/10/2024</c:v>
                  </c:pt>
                  <c:pt idx="10">
                    <c:v>30/11/2024</c:v>
                  </c:pt>
                  <c:pt idx="11">
                    <c:v>31/12/2024</c:v>
                  </c:pt>
                  <c:pt idx="12">
                    <c:v>31/01/2025</c:v>
                  </c:pt>
                  <c:pt idx="13">
                    <c:v>28/02/2025</c:v>
                  </c:pt>
                  <c:pt idx="14">
                    <c:v>31/03/2025</c:v>
                  </c:pt>
                  <c:pt idx="15">
                    <c:v>30/04/2025</c:v>
                  </c:pt>
                  <c:pt idx="16">
                    <c:v>31/05/2025</c:v>
                  </c:pt>
                  <c:pt idx="17">
                    <c:v>30/06/2025</c:v>
                  </c:pt>
                  <c:pt idx="18">
                    <c:v>31/07/2025</c:v>
                  </c:pt>
                  <c:pt idx="19">
                    <c:v>31/08/2025</c:v>
                  </c:pt>
                  <c:pt idx="20">
                    <c:v>30/09/2025</c:v>
                  </c:pt>
                </c:lvl>
              </c:multiLvlStrCache>
            </c:multiLvlStrRef>
          </c:cat>
          <c:val>
            <c:numRef>
              <c:f>Hoja1!$AP$3:$AP$23</c:f>
              <c:numCache>
                <c:formatCode>General</c:formatCode>
                <c:ptCount val="21"/>
                <c:pt idx="0">
                  <c:v>372</c:v>
                </c:pt>
                <c:pt idx="1">
                  <c:v>336</c:v>
                </c:pt>
                <c:pt idx="2">
                  <c:v>372</c:v>
                </c:pt>
                <c:pt idx="3">
                  <c:v>360</c:v>
                </c:pt>
                <c:pt idx="4">
                  <c:v>372</c:v>
                </c:pt>
                <c:pt idx="5">
                  <c:v>360</c:v>
                </c:pt>
                <c:pt idx="6">
                  <c:v>372</c:v>
                </c:pt>
                <c:pt idx="7">
                  <c:v>372</c:v>
                </c:pt>
                <c:pt idx="8">
                  <c:v>360</c:v>
                </c:pt>
                <c:pt idx="9">
                  <c:v>372</c:v>
                </c:pt>
                <c:pt idx="10">
                  <c:v>360</c:v>
                </c:pt>
                <c:pt idx="11">
                  <c:v>372</c:v>
                </c:pt>
                <c:pt idx="12">
                  <c:v>372</c:v>
                </c:pt>
                <c:pt idx="13">
                  <c:v>336</c:v>
                </c:pt>
                <c:pt idx="14">
                  <c:v>372</c:v>
                </c:pt>
                <c:pt idx="15">
                  <c:v>360</c:v>
                </c:pt>
                <c:pt idx="16">
                  <c:v>372</c:v>
                </c:pt>
                <c:pt idx="17">
                  <c:v>360</c:v>
                </c:pt>
                <c:pt idx="18">
                  <c:v>372</c:v>
                </c:pt>
                <c:pt idx="19">
                  <c:v>372</c:v>
                </c:pt>
                <c:pt idx="20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DB-4C5A-9BB5-44A0BCD50CF4}"/>
            </c:ext>
          </c:extLst>
        </c:ser>
        <c:ser>
          <c:idx val="6"/>
          <c:order val="7"/>
          <c:tx>
            <c:strRef>
              <c:f>Hoja1!$AQ$2</c:f>
              <c:strCache>
                <c:ptCount val="1"/>
                <c:pt idx="0">
                  <c:v>CONSUMO BASE EN HORAS SOLARES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Hoja1!$B$3:$AJ$23</c:f>
              <c:multiLvlStrCache>
                <c:ptCount val="21"/>
                <c:lvl>
                  <c:pt idx="7">
                    <c:v>NET MET </c:v>
                  </c:pt>
                  <c:pt idx="8">
                    <c:v>NET MET </c:v>
                  </c:pt>
                  <c:pt idx="9">
                    <c:v>NET MET </c:v>
                  </c:pt>
                  <c:pt idx="10">
                    <c:v>NET MET </c:v>
                  </c:pt>
                  <c:pt idx="11">
                    <c:v>NET MET </c:v>
                  </c:pt>
                  <c:pt idx="12">
                    <c:v>NET MET </c:v>
                  </c:pt>
                  <c:pt idx="13">
                    <c:v>NET MET </c:v>
                  </c:pt>
                  <c:pt idx="14">
                    <c:v>NET MET </c:v>
                  </c:pt>
                  <c:pt idx="15">
                    <c:v>NET MET </c:v>
                  </c:pt>
                  <c:pt idx="16">
                    <c:v>NET MET </c:v>
                  </c:pt>
                  <c:pt idx="17">
                    <c:v>NET MET </c:v>
                  </c:pt>
                  <c:pt idx="18">
                    <c:v>NET MET </c:v>
                  </c:pt>
                  <c:pt idx="19">
                    <c:v>NET MET </c:v>
                  </c:pt>
                  <c:pt idx="20">
                    <c:v>NET MET </c:v>
                  </c:pt>
                </c:lvl>
                <c:lvl>
                  <c:pt idx="0">
                    <c:v>$3,139,386.73</c:v>
                  </c:pt>
                  <c:pt idx="1">
                    <c:v>$3,382,391.85</c:v>
                  </c:pt>
                  <c:pt idx="2">
                    <c:v>$3,654,425.48</c:v>
                  </c:pt>
                  <c:pt idx="3">
                    <c:v>$2,667,773.08</c:v>
                  </c:pt>
                  <c:pt idx="4">
                    <c:v>$3,539,097.01</c:v>
                  </c:pt>
                  <c:pt idx="5">
                    <c:v>$3,535,459.65</c:v>
                  </c:pt>
                  <c:pt idx="6">
                    <c:v>$3,611,655.71</c:v>
                  </c:pt>
                  <c:pt idx="7">
                    <c:v>$3,721,605.57</c:v>
                  </c:pt>
                  <c:pt idx="8">
                    <c:v>$3,470,852.69</c:v>
                  </c:pt>
                  <c:pt idx="9">
                    <c:v>$3,505,262.83</c:v>
                  </c:pt>
                  <c:pt idx="10">
                    <c:v>$3,423,297.38</c:v>
                  </c:pt>
                  <c:pt idx="11">
                    <c:v>$2,879,446.80</c:v>
                  </c:pt>
                  <c:pt idx="12">
                    <c:v>$3,326,870.11</c:v>
                  </c:pt>
                  <c:pt idx="13">
                    <c:v>$3,159,111.38</c:v>
                  </c:pt>
                  <c:pt idx="14">
                    <c:v>$3,360,342.25</c:v>
                  </c:pt>
                  <c:pt idx="15">
                    <c:v>$3,159,586.64</c:v>
                  </c:pt>
                  <c:pt idx="16">
                    <c:v>$3,435,152.63</c:v>
                  </c:pt>
                  <c:pt idx="17">
                    <c:v>$3,469,952.56</c:v>
                  </c:pt>
                  <c:pt idx="18">
                    <c:v>$3,528,886.77</c:v>
                  </c:pt>
                  <c:pt idx="19">
                    <c:v>$3,506,402.47</c:v>
                  </c:pt>
                  <c:pt idx="20">
                    <c:v>$3,145,778.60</c:v>
                  </c:pt>
                </c:lvl>
                <c:lvl>
                  <c:pt idx="0">
                    <c:v>$3,139,385.89</c:v>
                  </c:pt>
                  <c:pt idx="1">
                    <c:v>$3,382,391.13</c:v>
                  </c:pt>
                  <c:pt idx="2">
                    <c:v>$3,654,424.63</c:v>
                  </c:pt>
                  <c:pt idx="3">
                    <c:v>$2,728,638.96</c:v>
                  </c:pt>
                  <c:pt idx="4">
                    <c:v>$3,539,096.92</c:v>
                  </c:pt>
                  <c:pt idx="5">
                    <c:v>$3,535,459.64</c:v>
                  </c:pt>
                  <c:pt idx="6">
                    <c:v>$3,611,655.06</c:v>
                  </c:pt>
                  <c:pt idx="7">
                    <c:v>$3,721,604.85</c:v>
                  </c:pt>
                  <c:pt idx="8">
                    <c:v>$3,470,852.11</c:v>
                  </c:pt>
                  <c:pt idx="9">
                    <c:v>$3,458,352.78</c:v>
                  </c:pt>
                  <c:pt idx="10">
                    <c:v>$3,423,296.55</c:v>
                  </c:pt>
                  <c:pt idx="11">
                    <c:v>$2,879,446.43</c:v>
                  </c:pt>
                  <c:pt idx="12">
                    <c:v>$3,326,869.33</c:v>
                  </c:pt>
                  <c:pt idx="13">
                    <c:v>$3,159,111.26</c:v>
                  </c:pt>
                  <c:pt idx="14">
                    <c:v>$3,360,341.87</c:v>
                  </c:pt>
                  <c:pt idx="15">
                    <c:v>$2,855,734.72</c:v>
                  </c:pt>
                  <c:pt idx="16">
                    <c:v>$3,435,151.97</c:v>
                  </c:pt>
                  <c:pt idx="17">
                    <c:v>$3,469,951.94</c:v>
                  </c:pt>
                  <c:pt idx="18">
                    <c:v>$3,528,886.22</c:v>
                  </c:pt>
                  <c:pt idx="19">
                    <c:v>$3,506,401.69</c:v>
                  </c:pt>
                  <c:pt idx="20">
                    <c:v>$3,362,728.34</c:v>
                  </c:pt>
                </c:lvl>
                <c:lvl>
                  <c:pt idx="0">
                    <c:v>$202,541.03</c:v>
                  </c:pt>
                  <c:pt idx="1">
                    <c:v>$218,218.78</c:v>
                  </c:pt>
                  <c:pt idx="2">
                    <c:v>$235,769.33</c:v>
                  </c:pt>
                  <c:pt idx="3">
                    <c:v>$176,041.22</c:v>
                  </c:pt>
                  <c:pt idx="4">
                    <c:v>$228,328.83</c:v>
                  </c:pt>
                  <c:pt idx="5">
                    <c:v>$228,094.17</c:v>
                  </c:pt>
                  <c:pt idx="6">
                    <c:v>$233,010.00</c:v>
                  </c:pt>
                  <c:pt idx="7">
                    <c:v>$240,103.54</c:v>
                  </c:pt>
                  <c:pt idx="8">
                    <c:v>$223,925.94</c:v>
                  </c:pt>
                  <c:pt idx="9">
                    <c:v>$223,119.53</c:v>
                  </c:pt>
                  <c:pt idx="10">
                    <c:v>$220,857.84</c:v>
                  </c:pt>
                  <c:pt idx="11">
                    <c:v>$185,770.74</c:v>
                  </c:pt>
                  <c:pt idx="12">
                    <c:v>$214,636.73</c:v>
                  </c:pt>
                  <c:pt idx="13">
                    <c:v>$203,813.63</c:v>
                  </c:pt>
                  <c:pt idx="14">
                    <c:v>$216,796.25</c:v>
                  </c:pt>
                  <c:pt idx="15">
                    <c:v>$184,240.95</c:v>
                  </c:pt>
                  <c:pt idx="16">
                    <c:v>$221,622.71</c:v>
                  </c:pt>
                  <c:pt idx="17">
                    <c:v>$223,867.87</c:v>
                  </c:pt>
                  <c:pt idx="18">
                    <c:v>$227,670.08</c:v>
                  </c:pt>
                  <c:pt idx="19">
                    <c:v>$226,219.46</c:v>
                  </c:pt>
                  <c:pt idx="20">
                    <c:v>$216,950.22</c:v>
                  </c:pt>
                </c:lvl>
                <c:lvl>
                  <c:pt idx="0">
                    <c:v>$405,082.05</c:v>
                  </c:pt>
                  <c:pt idx="1">
                    <c:v>$436,437.57</c:v>
                  </c:pt>
                  <c:pt idx="2">
                    <c:v>$471,538.66</c:v>
                  </c:pt>
                  <c:pt idx="3">
                    <c:v>$352,082.45</c:v>
                  </c:pt>
                  <c:pt idx="4">
                    <c:v>$456,657.67</c:v>
                  </c:pt>
                  <c:pt idx="5">
                    <c:v>$456,188.34</c:v>
                  </c:pt>
                  <c:pt idx="6">
                    <c:v>$466,020.01</c:v>
                  </c:pt>
                  <c:pt idx="7">
                    <c:v>$480,207.08</c:v>
                  </c:pt>
                  <c:pt idx="8">
                    <c:v>$447,851.89</c:v>
                  </c:pt>
                  <c:pt idx="9">
                    <c:v>$446,239.07</c:v>
                  </c:pt>
                  <c:pt idx="10">
                    <c:v>$441,715.68</c:v>
                  </c:pt>
                  <c:pt idx="11">
                    <c:v>$371,541.47</c:v>
                  </c:pt>
                  <c:pt idx="12">
                    <c:v>$429,273.46</c:v>
                  </c:pt>
                  <c:pt idx="13">
                    <c:v>$407,627.26</c:v>
                  </c:pt>
                  <c:pt idx="14">
                    <c:v>$433,592.50</c:v>
                  </c:pt>
                  <c:pt idx="15">
                    <c:v>$368,481.90</c:v>
                  </c:pt>
                  <c:pt idx="16">
                    <c:v>$443,245.42</c:v>
                  </c:pt>
                  <c:pt idx="17">
                    <c:v>$447,735.73</c:v>
                  </c:pt>
                  <c:pt idx="18">
                    <c:v>$455,340.16</c:v>
                  </c:pt>
                  <c:pt idx="19">
                    <c:v>$452,438.93</c:v>
                  </c:pt>
                  <c:pt idx="20">
                    <c:v>$433,900.43</c:v>
                  </c:pt>
                </c:lvl>
                <c:lvl>
                  <c:pt idx="0">
                    <c:v>$2,531,762.82</c:v>
                  </c:pt>
                  <c:pt idx="1">
                    <c:v>$2,727,734.78</c:v>
                  </c:pt>
                  <c:pt idx="2">
                    <c:v>$2,947,116.63</c:v>
                  </c:pt>
                  <c:pt idx="3">
                    <c:v>$2,200,515.29</c:v>
                  </c:pt>
                  <c:pt idx="4">
                    <c:v>$2,854,110.42</c:v>
                  </c:pt>
                  <c:pt idx="5">
                    <c:v>$2,851,177.13</c:v>
                  </c:pt>
                  <c:pt idx="6">
                    <c:v>$2,912,625.05</c:v>
                  </c:pt>
                  <c:pt idx="7">
                    <c:v>$3,001,294.23</c:v>
                  </c:pt>
                  <c:pt idx="8">
                    <c:v>$2,799,074.29</c:v>
                  </c:pt>
                  <c:pt idx="9">
                    <c:v>$2,788,994.18</c:v>
                  </c:pt>
                  <c:pt idx="10">
                    <c:v>$2,760,723.02</c:v>
                  </c:pt>
                  <c:pt idx="11">
                    <c:v>$2,322,134.22</c:v>
                  </c:pt>
                  <c:pt idx="12">
                    <c:v>$2,682,959.14</c:v>
                  </c:pt>
                  <c:pt idx="13">
                    <c:v>$2,547,670.37</c:v>
                  </c:pt>
                  <c:pt idx="14">
                    <c:v>$2,709,953.12</c:v>
                  </c:pt>
                  <c:pt idx="15">
                    <c:v>$2,303,011.87</c:v>
                  </c:pt>
                  <c:pt idx="16">
                    <c:v>$2,770,283.84</c:v>
                  </c:pt>
                  <c:pt idx="17">
                    <c:v>$2,798,348.34</c:v>
                  </c:pt>
                  <c:pt idx="18">
                    <c:v>$2,845,875.98</c:v>
                  </c:pt>
                  <c:pt idx="19">
                    <c:v>$2,827,743.30</c:v>
                  </c:pt>
                  <c:pt idx="20">
                    <c:v>$2,711,877.70</c:v>
                  </c:pt>
                </c:lvl>
                <c:lvl>
                  <c:pt idx="0">
                    <c:v>$7,572.57</c:v>
                  </c:pt>
                  <c:pt idx="1">
                    <c:v>$13,570.82</c:v>
                  </c:pt>
                  <c:pt idx="2">
                    <c:v>$14,662.27</c:v>
                  </c:pt>
                  <c:pt idx="3">
                    <c:v>$0.00</c:v>
                  </c:pt>
                  <c:pt idx="4">
                    <c:v>$33,843.21</c:v>
                  </c:pt>
                  <c:pt idx="5">
                    <c:v>$33,808.42</c:v>
                  </c:pt>
                  <c:pt idx="6">
                    <c:v>$28,837.87</c:v>
                  </c:pt>
                  <c:pt idx="7">
                    <c:v>$26,770.71</c:v>
                  </c:pt>
                  <c:pt idx="8">
                    <c:v>$22,214.88</c:v>
                  </c:pt>
                  <c:pt idx="9">
                    <c:v>$16,634.16</c:v>
                  </c:pt>
                  <c:pt idx="10">
                    <c:v>$13,734.94</c:v>
                  </c:pt>
                  <c:pt idx="11">
                    <c:v>$9,251.53</c:v>
                  </c:pt>
                  <c:pt idx="12">
                    <c:v>$8,024.80</c:v>
                  </c:pt>
                  <c:pt idx="13">
                    <c:v>$12,674.98</c:v>
                  </c:pt>
                  <c:pt idx="14">
                    <c:v>$21,507.56</c:v>
                  </c:pt>
                  <c:pt idx="15">
                    <c:v>$27,308.44</c:v>
                  </c:pt>
                  <c:pt idx="16">
                    <c:v>$27,428.55</c:v>
                  </c:pt>
                  <c:pt idx="17">
                    <c:v>$24,960.49</c:v>
                  </c:pt>
                  <c:pt idx="18">
                    <c:v>$25,384.42</c:v>
                  </c:pt>
                  <c:pt idx="19">
                    <c:v>$14,068.37</c:v>
                  </c:pt>
                  <c:pt idx="20">
                    <c:v>$16,174.22</c:v>
                  </c:pt>
                </c:lvl>
                <c:lvl>
                  <c:pt idx="0">
                    <c:v>0.30%</c:v>
                  </c:pt>
                  <c:pt idx="1">
                    <c:v>0.50%</c:v>
                  </c:pt>
                  <c:pt idx="2">
                    <c:v>0.50%</c:v>
                  </c:pt>
                  <c:pt idx="3">
                    <c:v>0.00%</c:v>
                  </c:pt>
                  <c:pt idx="4">
                    <c:v>1.20%</c:v>
                  </c:pt>
                  <c:pt idx="5">
                    <c:v>1.20%</c:v>
                  </c:pt>
                  <c:pt idx="6">
                    <c:v>1.00%</c:v>
                  </c:pt>
                  <c:pt idx="7">
                    <c:v>0.90%</c:v>
                  </c:pt>
                  <c:pt idx="8">
                    <c:v>0.80%</c:v>
                  </c:pt>
                  <c:pt idx="9">
                    <c:v>0.60%</c:v>
                  </c:pt>
                  <c:pt idx="10">
                    <c:v>0.50%</c:v>
                  </c:pt>
                  <c:pt idx="11">
                    <c:v>0.40%</c:v>
                  </c:pt>
                  <c:pt idx="12">
                    <c:v>0.30%</c:v>
                  </c:pt>
                  <c:pt idx="13">
                    <c:v>0.50%</c:v>
                  </c:pt>
                  <c:pt idx="14">
                    <c:v>0.80%</c:v>
                  </c:pt>
                  <c:pt idx="15">
                    <c:v>1.20%</c:v>
                  </c:pt>
                  <c:pt idx="16">
                    <c:v>1.00%</c:v>
                  </c:pt>
                  <c:pt idx="17">
                    <c:v>0.90%</c:v>
                  </c:pt>
                  <c:pt idx="18">
                    <c:v>0.90%</c:v>
                  </c:pt>
                  <c:pt idx="19">
                    <c:v>0.50%</c:v>
                  </c:pt>
                  <c:pt idx="20">
                    <c:v>0.60%</c:v>
                  </c:pt>
                </c:lvl>
                <c:lvl>
                  <c:pt idx="0">
                    <c:v>$2,523,827.65</c:v>
                  </c:pt>
                  <c:pt idx="1">
                    <c:v>$2,713,801.36</c:v>
                  </c:pt>
                  <c:pt idx="2">
                    <c:v>$2,932,091.76</c:v>
                  </c:pt>
                  <c:pt idx="3">
                    <c:v>$2,200,152.69</c:v>
                  </c:pt>
                  <c:pt idx="4">
                    <c:v>$2,819,904.61</c:v>
                  </c:pt>
                  <c:pt idx="5">
                    <c:v>$2,817,006.11</c:v>
                  </c:pt>
                  <c:pt idx="6">
                    <c:v>$2,883,424.57</c:v>
                  </c:pt>
                  <c:pt idx="7">
                    <c:v>$2,974,160.92</c:v>
                  </c:pt>
                  <c:pt idx="8">
                    <c:v>$2,776,496.81</c:v>
                  </c:pt>
                  <c:pt idx="9">
                    <c:v>$2,771,997.42</c:v>
                  </c:pt>
                  <c:pt idx="10">
                    <c:v>$2,746,625.48</c:v>
                  </c:pt>
                  <c:pt idx="11">
                    <c:v>$2,312,520.09</c:v>
                  </c:pt>
                  <c:pt idx="12">
                    <c:v>$2,674,565.39</c:v>
                  </c:pt>
                  <c:pt idx="13">
                    <c:v>$2,534,626.44</c:v>
                  </c:pt>
                  <c:pt idx="14">
                    <c:v>$2,688,076.61</c:v>
                  </c:pt>
                  <c:pt idx="15">
                    <c:v>$2,275,334.48</c:v>
                  </c:pt>
                  <c:pt idx="16">
                    <c:v>$2,742,486.34</c:v>
                  </c:pt>
                  <c:pt idx="17">
                    <c:v>$2,773,018.90</c:v>
                  </c:pt>
                  <c:pt idx="18">
                    <c:v>$2,820,122.61</c:v>
                  </c:pt>
                  <c:pt idx="19">
                    <c:v>$2,813,305.98</c:v>
                  </c:pt>
                  <c:pt idx="20">
                    <c:v>$2,695,334.53</c:v>
                  </c:pt>
                </c:lvl>
                <c:lvl>
                  <c:pt idx="0">
                    <c:v>$727,905.75</c:v>
                  </c:pt>
                  <c:pt idx="1">
                    <c:v>$785,361.39</c:v>
                  </c:pt>
                  <c:pt idx="2">
                    <c:v>$754,425.62</c:v>
                  </c:pt>
                  <c:pt idx="3">
                    <c:v>$42,889.35</c:v>
                  </c:pt>
                  <c:pt idx="4">
                    <c:v>$795,291.09</c:v>
                  </c:pt>
                  <c:pt idx="5">
                    <c:v>$805,094.37</c:v>
                  </c:pt>
                  <c:pt idx="6">
                    <c:v>$799,718.08</c:v>
                  </c:pt>
                  <c:pt idx="7">
                    <c:v>$811,328.05</c:v>
                  </c:pt>
                  <c:pt idx="8">
                    <c:v>$787,216.02</c:v>
                  </c:pt>
                  <c:pt idx="9">
                    <c:v>$738,932.80</c:v>
                  </c:pt>
                  <c:pt idx="10">
                    <c:v>$765,607.83</c:v>
                  </c:pt>
                  <c:pt idx="11">
                    <c:v>$737,018.47</c:v>
                  </c:pt>
                  <c:pt idx="12">
                    <c:v>$738,819.38</c:v>
                  </c:pt>
                  <c:pt idx="13">
                    <c:v>$758,989.74</c:v>
                  </c:pt>
                  <c:pt idx="14">
                    <c:v>$764,803.41</c:v>
                  </c:pt>
                  <c:pt idx="15">
                    <c:v>$764,381.10</c:v>
                  </c:pt>
                  <c:pt idx="16">
                    <c:v>$772,827.30</c:v>
                  </c:pt>
                  <c:pt idx="17">
                    <c:v>$803,720.06</c:v>
                  </c:pt>
                  <c:pt idx="18">
                    <c:v>$799,530.04</c:v>
                  </c:pt>
                  <c:pt idx="19">
                    <c:v>$783,943.12</c:v>
                  </c:pt>
                  <c:pt idx="20">
                    <c:v>$781,560.95</c:v>
                  </c:pt>
                </c:lvl>
                <c:lvl>
                  <c:pt idx="0">
                    <c:v>$184,676.25</c:v>
                  </c:pt>
                  <c:pt idx="1">
                    <c:v>$198,107.25</c:v>
                  </c:pt>
                  <c:pt idx="2">
                    <c:v>$204,721.00</c:v>
                  </c:pt>
                  <c:pt idx="3">
                    <c:v>$204,721.00</c:v>
                  </c:pt>
                  <c:pt idx="4">
                    <c:v>$198,107.25</c:v>
                  </c:pt>
                  <c:pt idx="5">
                    <c:v>$200,549.25</c:v>
                  </c:pt>
                  <c:pt idx="6">
                    <c:v>$194,444.25</c:v>
                  </c:pt>
                  <c:pt idx="7">
                    <c:v>$195,868.75</c:v>
                  </c:pt>
                  <c:pt idx="8">
                    <c:v>$189,967.25</c:v>
                  </c:pt>
                  <c:pt idx="9">
                    <c:v>$188,034.00</c:v>
                  </c:pt>
                  <c:pt idx="10">
                    <c:v>$184,065.75</c:v>
                  </c:pt>
                  <c:pt idx="11">
                    <c:v>$189,255.00</c:v>
                  </c:pt>
                  <c:pt idx="12">
                    <c:v>$189,404.80</c:v>
                  </c:pt>
                  <c:pt idx="13">
                    <c:v>$183,485.90</c:v>
                  </c:pt>
                  <c:pt idx="14">
                    <c:v>$184,812.55</c:v>
                  </c:pt>
                  <c:pt idx="15">
                    <c:v>$187,434.07</c:v>
                  </c:pt>
                  <c:pt idx="16">
                    <c:v>$188,792.50</c:v>
                  </c:pt>
                  <c:pt idx="17">
                    <c:v>$189,915.05</c:v>
                  </c:pt>
                  <c:pt idx="18">
                    <c:v>$185,935.10</c:v>
                  </c:pt>
                  <c:pt idx="19">
                    <c:v>$183,894.10</c:v>
                  </c:pt>
                  <c:pt idx="20">
                    <c:v>$183,179.75</c:v>
                  </c:pt>
                </c:lvl>
                <c:lvl>
                  <c:pt idx="0">
                    <c:v>$308,847.95</c:v>
                  </c:pt>
                  <c:pt idx="1">
                    <c:v>$328,503.57</c:v>
                  </c:pt>
                  <c:pt idx="2">
                    <c:v>$355,295.29</c:v>
                  </c:pt>
                  <c:pt idx="3">
                    <c:v>$203,590.27</c:v>
                  </c:pt>
                  <c:pt idx="4">
                    <c:v>$163,278.78</c:v>
                  </c:pt>
                  <c:pt idx="5">
                    <c:v>$159,306.03</c:v>
                  </c:pt>
                  <c:pt idx="6">
                    <c:v>$178,193.47</c:v>
                  </c:pt>
                  <c:pt idx="7">
                    <c:v>$178,632.61</c:v>
                  </c:pt>
                  <c:pt idx="8">
                    <c:v>$158,063.87</c:v>
                  </c:pt>
                  <c:pt idx="9">
                    <c:v>$199,964.51</c:v>
                  </c:pt>
                  <c:pt idx="10">
                    <c:v>$342,319.61</c:v>
                  </c:pt>
                  <c:pt idx="11">
                    <c:v>$259,868.40</c:v>
                  </c:pt>
                  <c:pt idx="12">
                    <c:v>$343,169.19</c:v>
                  </c:pt>
                  <c:pt idx="13">
                    <c:v>$314,088.63</c:v>
                  </c:pt>
                  <c:pt idx="14">
                    <c:v>$333,514.16</c:v>
                  </c:pt>
                  <c:pt idx="15">
                    <c:v>$129,076.53</c:v>
                  </c:pt>
                  <c:pt idx="16">
                    <c:v>$163,609.04</c:v>
                  </c:pt>
                  <c:pt idx="17">
                    <c:v>$161,531.31</c:v>
                  </c:pt>
                  <c:pt idx="18">
                    <c:v>$174,133.65</c:v>
                  </c:pt>
                  <c:pt idx="19">
                    <c:v>$162,733.00</c:v>
                  </c:pt>
                  <c:pt idx="20">
                    <c:v>$157,959.86</c:v>
                  </c:pt>
                </c:lvl>
                <c:lvl>
                  <c:pt idx="0">
                    <c:v>$1,008,360.25</c:v>
                  </c:pt>
                  <c:pt idx="1">
                    <c:v>$1,074,400.31</c:v>
                  </c:pt>
                  <c:pt idx="2">
                    <c:v>$1,248,783.11</c:v>
                  </c:pt>
                  <c:pt idx="3">
                    <c:v>$1,381,986.70</c:v>
                  </c:pt>
                  <c:pt idx="4">
                    <c:v>$1,294,737.76</c:v>
                  </c:pt>
                  <c:pt idx="5">
                    <c:v>$1,286,822.97</c:v>
                  </c:pt>
                  <c:pt idx="6">
                    <c:v>$1,363,811.29</c:v>
                  </c:pt>
                  <c:pt idx="7">
                    <c:v>$1,416,522.48</c:v>
                  </c:pt>
                  <c:pt idx="8">
                    <c:v>$1,271,155.20</c:v>
                  </c:pt>
                  <c:pt idx="9">
                    <c:v>$1,285,313.15</c:v>
                  </c:pt>
                  <c:pt idx="10">
                    <c:v>$1,098,790.79</c:v>
                  </c:pt>
                  <c:pt idx="11">
                    <c:v>$831,661.35</c:v>
                  </c:pt>
                  <c:pt idx="12">
                    <c:v>$1,078,026.43</c:v>
                  </c:pt>
                  <c:pt idx="13">
                    <c:v>$962,691.85</c:v>
                  </c:pt>
                  <c:pt idx="14">
                    <c:v>$1,050,830.64</c:v>
                  </c:pt>
                  <c:pt idx="15">
                    <c:v>$937,383.42</c:v>
                  </c:pt>
                  <c:pt idx="16">
                    <c:v>$1,265,279.21</c:v>
                  </c:pt>
                  <c:pt idx="17">
                    <c:v>$1,264,248.36</c:v>
                  </c:pt>
                  <c:pt idx="18">
                    <c:v>$1,322,411.97</c:v>
                  </c:pt>
                  <c:pt idx="19">
                    <c:v>$1,321,038.15</c:v>
                  </c:pt>
                  <c:pt idx="20">
                    <c:v>$1,246,004.72</c:v>
                  </c:pt>
                </c:lvl>
                <c:lvl>
                  <c:pt idx="0">
                    <c:v>$294,037.45</c:v>
                  </c:pt>
                  <c:pt idx="1">
                    <c:v>$327,428.85</c:v>
                  </c:pt>
                  <c:pt idx="2">
                    <c:v>$368,866.75</c:v>
                  </c:pt>
                  <c:pt idx="3">
                    <c:v>$366,965.38</c:v>
                  </c:pt>
                  <c:pt idx="4">
                    <c:v>$368,489.73</c:v>
                  </c:pt>
                  <c:pt idx="5">
                    <c:v>$365,233.49</c:v>
                  </c:pt>
                  <c:pt idx="6">
                    <c:v>$347,257.49</c:v>
                  </c:pt>
                  <c:pt idx="7">
                    <c:v>$371,809.04</c:v>
                  </c:pt>
                  <c:pt idx="8">
                    <c:v>$370,094.47</c:v>
                  </c:pt>
                  <c:pt idx="9">
                    <c:v>$359,752.96</c:v>
                  </c:pt>
                  <c:pt idx="10">
                    <c:v>$355,841.51</c:v>
                  </c:pt>
                  <c:pt idx="11">
                    <c:v>$294,716.87</c:v>
                  </c:pt>
                  <c:pt idx="12">
                    <c:v>$325,145.59</c:v>
                  </c:pt>
                  <c:pt idx="13">
                    <c:v>$315,370.33</c:v>
                  </c:pt>
                  <c:pt idx="14">
                    <c:v>$354,115.85</c:v>
                  </c:pt>
                  <c:pt idx="15">
                    <c:v>$257,059.36</c:v>
                  </c:pt>
                  <c:pt idx="16">
                    <c:v>$351,978.29</c:v>
                  </c:pt>
                  <c:pt idx="17">
                    <c:v>$353,604.12</c:v>
                  </c:pt>
                  <c:pt idx="18">
                    <c:v>$338,111.85</c:v>
                  </c:pt>
                  <c:pt idx="19">
                    <c:v>$361,697.60</c:v>
                  </c:pt>
                  <c:pt idx="20">
                    <c:v>$326,629.24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1836.688596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$401.05</c:v>
                  </c:pt>
                  <c:pt idx="1">
                    <c:v>$403.37</c:v>
                  </c:pt>
                  <c:pt idx="2">
                    <c:v>$408.46</c:v>
                  </c:pt>
                  <c:pt idx="3">
                    <c:v>$408.47</c:v>
                  </c:pt>
                  <c:pt idx="4">
                    <c:v>$408.47</c:v>
                  </c:pt>
                  <c:pt idx="5">
                    <c:v>$408.47</c:v>
                  </c:pt>
                  <c:pt idx="6">
                    <c:v>$420.02</c:v>
                  </c:pt>
                  <c:pt idx="7">
                    <c:v>$423.67</c:v>
                  </c:pt>
                  <c:pt idx="8">
                    <c:v>$423.69</c:v>
                  </c:pt>
                  <c:pt idx="9">
                    <c:v>$423.70</c:v>
                  </c:pt>
                  <c:pt idx="10">
                    <c:v>$423.69</c:v>
                  </c:pt>
                  <c:pt idx="11">
                    <c:v>$416.63</c:v>
                  </c:pt>
                  <c:pt idx="12">
                    <c:v>$421.46</c:v>
                  </c:pt>
                  <c:pt idx="13">
                    <c:v>$422.13</c:v>
                  </c:pt>
                  <c:pt idx="14">
                    <c:v>$422.31</c:v>
                  </c:pt>
                  <c:pt idx="15">
                    <c:v>$422.31</c:v>
                  </c:pt>
                  <c:pt idx="16">
                    <c:v>$422.31</c:v>
                  </c:pt>
                  <c:pt idx="17">
                    <c:v>$432.34</c:v>
                  </c:pt>
                  <c:pt idx="18">
                    <c:v>$438.82</c:v>
                  </c:pt>
                  <c:pt idx="19">
                    <c:v>$439.43</c:v>
                  </c:pt>
                  <c:pt idx="20">
                    <c:v>$435.41</c:v>
                  </c:pt>
                </c:lvl>
                <c:lvl>
                  <c:pt idx="0">
                    <c:v>$101.75</c:v>
                  </c:pt>
                  <c:pt idx="1">
                    <c:v>$101.75</c:v>
                  </c:pt>
                  <c:pt idx="2">
                    <c:v>$101.75</c:v>
                  </c:pt>
                  <c:pt idx="3">
                    <c:v>$101.75</c:v>
                  </c:pt>
                  <c:pt idx="4">
                    <c:v>$101.75</c:v>
                  </c:pt>
                  <c:pt idx="5">
                    <c:v>$101.75</c:v>
                  </c:pt>
                  <c:pt idx="6">
                    <c:v>$101.75</c:v>
                  </c:pt>
                  <c:pt idx="7">
                    <c:v>$101.75</c:v>
                  </c:pt>
                  <c:pt idx="8">
                    <c:v>$101.75</c:v>
                  </c:pt>
                  <c:pt idx="9">
                    <c:v>$101.75</c:v>
                  </c:pt>
                  <c:pt idx="10">
                    <c:v>$101.75</c:v>
                  </c:pt>
                  <c:pt idx="11">
                    <c:v>$101.75</c:v>
                  </c:pt>
                  <c:pt idx="12">
                    <c:v>$102.05</c:v>
                  </c:pt>
                  <c:pt idx="13">
                    <c:v>$102.05</c:v>
                  </c:pt>
                  <c:pt idx="14">
                    <c:v>$102.05</c:v>
                  </c:pt>
                  <c:pt idx="15">
                    <c:v>$102.05</c:v>
                  </c:pt>
                  <c:pt idx="16">
                    <c:v>$102.05</c:v>
                  </c:pt>
                  <c:pt idx="17">
                    <c:v>$102.05</c:v>
                  </c:pt>
                  <c:pt idx="18">
                    <c:v>$102.05</c:v>
                  </c:pt>
                  <c:pt idx="19">
                    <c:v>$102.05</c:v>
                  </c:pt>
                  <c:pt idx="20">
                    <c:v>$102.05</c:v>
                  </c:pt>
                </c:lvl>
                <c:lvl>
                  <c:pt idx="0">
                    <c:v>$2.18</c:v>
                  </c:pt>
                  <c:pt idx="1">
                    <c:v>$2.19</c:v>
                  </c:pt>
                  <c:pt idx="2">
                    <c:v>$2.21</c:v>
                  </c:pt>
                  <c:pt idx="3">
                    <c:v>$2.21</c:v>
                  </c:pt>
                  <c:pt idx="4">
                    <c:v>$2.21</c:v>
                  </c:pt>
                  <c:pt idx="5">
                    <c:v>$2.21</c:v>
                  </c:pt>
                  <c:pt idx="6">
                    <c:v>$2.27</c:v>
                  </c:pt>
                  <c:pt idx="7">
                    <c:v>$2.29</c:v>
                  </c:pt>
                  <c:pt idx="8">
                    <c:v>$2.29</c:v>
                  </c:pt>
                  <c:pt idx="9">
                    <c:v>$2.29</c:v>
                  </c:pt>
                  <c:pt idx="10">
                    <c:v>$2.29</c:v>
                  </c:pt>
                  <c:pt idx="11">
                    <c:v>$2.25</c:v>
                  </c:pt>
                  <c:pt idx="12">
                    <c:v>$2.28</c:v>
                  </c:pt>
                  <c:pt idx="13">
                    <c:v>$2.28</c:v>
                  </c:pt>
                  <c:pt idx="14">
                    <c:v>$2.28</c:v>
                  </c:pt>
                  <c:pt idx="15">
                    <c:v>$2.28</c:v>
                  </c:pt>
                  <c:pt idx="16">
                    <c:v>$2.28</c:v>
                  </c:pt>
                  <c:pt idx="17">
                    <c:v>$2.33</c:v>
                  </c:pt>
                  <c:pt idx="18">
                    <c:v>$2.37</c:v>
                  </c:pt>
                  <c:pt idx="19">
                    <c:v>$2.37</c:v>
                  </c:pt>
                  <c:pt idx="20">
                    <c:v>$2.35</c:v>
                  </c:pt>
                </c:lvl>
                <c:lvl>
                  <c:pt idx="0">
                    <c:v>$1.91</c:v>
                  </c:pt>
                  <c:pt idx="1">
                    <c:v>$1.92</c:v>
                  </c:pt>
                  <c:pt idx="2">
                    <c:v>$1.94</c:v>
                  </c:pt>
                  <c:pt idx="3">
                    <c:v>$1.94</c:v>
                  </c:pt>
                  <c:pt idx="4">
                    <c:v>$1.94</c:v>
                  </c:pt>
                  <c:pt idx="5">
                    <c:v>$1.94</c:v>
                  </c:pt>
                  <c:pt idx="6">
                    <c:v>$1.99</c:v>
                  </c:pt>
                  <c:pt idx="7">
                    <c:v>$2.01</c:v>
                  </c:pt>
                  <c:pt idx="8">
                    <c:v>$2.01</c:v>
                  </c:pt>
                  <c:pt idx="9">
                    <c:v>$2.01</c:v>
                  </c:pt>
                  <c:pt idx="10">
                    <c:v>$2.01</c:v>
                  </c:pt>
                  <c:pt idx="11">
                    <c:v>$1.97</c:v>
                  </c:pt>
                  <c:pt idx="12">
                    <c:v>$2.00</c:v>
                  </c:pt>
                  <c:pt idx="13">
                    <c:v>$2.00</c:v>
                  </c:pt>
                  <c:pt idx="14">
                    <c:v>$2.00</c:v>
                  </c:pt>
                  <c:pt idx="15">
                    <c:v>$2.00</c:v>
                  </c:pt>
                  <c:pt idx="16">
                    <c:v>$2.00</c:v>
                  </c:pt>
                  <c:pt idx="17">
                    <c:v>$2.05</c:v>
                  </c:pt>
                  <c:pt idx="18">
                    <c:v>$2.07</c:v>
                  </c:pt>
                  <c:pt idx="19">
                    <c:v>$2.08</c:v>
                  </c:pt>
                  <c:pt idx="20">
                    <c:v>$2.06</c:v>
                  </c:pt>
                </c:lvl>
                <c:lvl>
                  <c:pt idx="0">
                    <c:v>$1.07</c:v>
                  </c:pt>
                  <c:pt idx="1">
                    <c:v>$1.08</c:v>
                  </c:pt>
                  <c:pt idx="2">
                    <c:v>$1.09</c:v>
                  </c:pt>
                  <c:pt idx="3">
                    <c:v>$1.09</c:v>
                  </c:pt>
                  <c:pt idx="4">
                    <c:v>$1.09</c:v>
                  </c:pt>
                  <c:pt idx="5">
                    <c:v>$1.09</c:v>
                  </c:pt>
                  <c:pt idx="6">
                    <c:v>$1.11</c:v>
                  </c:pt>
                  <c:pt idx="7">
                    <c:v>$1.12</c:v>
                  </c:pt>
                  <c:pt idx="8">
                    <c:v>$1.12</c:v>
                  </c:pt>
                  <c:pt idx="9">
                    <c:v>$1.12</c:v>
                  </c:pt>
                  <c:pt idx="10">
                    <c:v>$1.12</c:v>
                  </c:pt>
                  <c:pt idx="11">
                    <c:v>$1.10</c:v>
                  </c:pt>
                  <c:pt idx="12">
                    <c:v>$1.12</c:v>
                  </c:pt>
                  <c:pt idx="13">
                    <c:v>$1.12</c:v>
                  </c:pt>
                  <c:pt idx="14">
                    <c:v>$1.12</c:v>
                  </c:pt>
                  <c:pt idx="15">
                    <c:v>$1.12</c:v>
                  </c:pt>
                  <c:pt idx="16">
                    <c:v>$1.12</c:v>
                  </c:pt>
                  <c:pt idx="17">
                    <c:v>$1.14</c:v>
                  </c:pt>
                  <c:pt idx="18">
                    <c:v>$1.16</c:v>
                  </c:pt>
                  <c:pt idx="19">
                    <c:v>$1.16</c:v>
                  </c:pt>
                  <c:pt idx="20">
                    <c:v>$1.15</c:v>
                  </c:pt>
                </c:lvl>
                <c:lvl>
                  <c:pt idx="0">
                    <c:v>$362.60</c:v>
                  </c:pt>
                  <c:pt idx="1">
                    <c:v>$362.60</c:v>
                  </c:pt>
                  <c:pt idx="2">
                    <c:v>$362.60</c:v>
                  </c:pt>
                  <c:pt idx="3">
                    <c:v>$362.60</c:v>
                  </c:pt>
                  <c:pt idx="4">
                    <c:v>$362.60</c:v>
                  </c:pt>
                  <c:pt idx="5">
                    <c:v>$362.60</c:v>
                  </c:pt>
                  <c:pt idx="6">
                    <c:v>$362.60</c:v>
                  </c:pt>
                  <c:pt idx="7">
                    <c:v>$362.60</c:v>
                  </c:pt>
                  <c:pt idx="8">
                    <c:v>$362.60</c:v>
                  </c:pt>
                  <c:pt idx="9">
                    <c:v>$362.60</c:v>
                  </c:pt>
                  <c:pt idx="10">
                    <c:v>$362.60</c:v>
                  </c:pt>
                  <c:pt idx="11">
                    <c:v>$362.60</c:v>
                  </c:pt>
                  <c:pt idx="12">
                    <c:v>$368.95</c:v>
                  </c:pt>
                  <c:pt idx="13">
                    <c:v>$368.95</c:v>
                  </c:pt>
                  <c:pt idx="14">
                    <c:v>$368.95</c:v>
                  </c:pt>
                  <c:pt idx="15">
                    <c:v>$368.95</c:v>
                  </c:pt>
                  <c:pt idx="16">
                    <c:v>$368.95</c:v>
                  </c:pt>
                  <c:pt idx="17">
                    <c:v>$368.95</c:v>
                  </c:pt>
                  <c:pt idx="18">
                    <c:v>$368.95</c:v>
                  </c:pt>
                  <c:pt idx="19">
                    <c:v>$368.95</c:v>
                  </c:pt>
                  <c:pt idx="20">
                    <c:v>$368.95</c:v>
                  </c:pt>
                </c:lvl>
                <c:lvl>
                  <c:pt idx="0">
                    <c:v>94.56</c:v>
                  </c:pt>
                  <c:pt idx="1">
                    <c:v>94.19</c:v>
                  </c:pt>
                  <c:pt idx="2">
                    <c:v>94.28</c:v>
                  </c:pt>
                  <c:pt idx="3">
                    <c:v>94.93</c:v>
                  </c:pt>
                  <c:pt idx="4">
                    <c:v>93.13</c:v>
                  </c:pt>
                  <c:pt idx="5">
                    <c:v>93.14</c:v>
                  </c:pt>
                  <c:pt idx="6">
                    <c:v>93.39</c:v>
                  </c:pt>
                  <c:pt idx="7">
                    <c:v>93.66</c:v>
                  </c:pt>
                  <c:pt idx="8">
                    <c:v>93.76</c:v>
                  </c:pt>
                  <c:pt idx="9">
                    <c:v>94.1</c:v>
                  </c:pt>
                  <c:pt idx="10">
                    <c:v>94.17</c:v>
                  </c:pt>
                  <c:pt idx="11">
                    <c:v>94.32</c:v>
                  </c:pt>
                  <c:pt idx="12">
                    <c:v>94.57</c:v>
                  </c:pt>
                  <c:pt idx="13">
                    <c:v>94.2</c:v>
                  </c:pt>
                  <c:pt idx="14">
                    <c:v>93.81</c:v>
                  </c:pt>
                  <c:pt idx="15">
                    <c:v>93.14</c:v>
                  </c:pt>
                  <c:pt idx="16">
                    <c:v>93.4</c:v>
                  </c:pt>
                  <c:pt idx="17">
                    <c:v>93.59</c:v>
                  </c:pt>
                  <c:pt idx="18">
                    <c:v>93.67</c:v>
                  </c:pt>
                  <c:pt idx="19">
                    <c:v>94.27</c:v>
                  </c:pt>
                  <c:pt idx="20">
                    <c:v>94.01</c:v>
                  </c:pt>
                </c:lvl>
                <c:lvl>
                  <c:pt idx="0">
                    <c:v>325156</c:v>
                  </c:pt>
                  <c:pt idx="1">
                    <c:v>361949</c:v>
                  </c:pt>
                  <c:pt idx="2">
                    <c:v>404533</c:v>
                  </c:pt>
                  <c:pt idx="3">
                    <c:v>378731</c:v>
                  </c:pt>
                  <c:pt idx="4">
                    <c:v>422677</c:v>
                  </c:pt>
                  <c:pt idx="5">
                    <c:v>418685</c:v>
                  </c:pt>
                  <c:pt idx="6">
                    <c:v>412155</c:v>
                  </c:pt>
                  <c:pt idx="7">
                    <c:v>417877</c:v>
                  </c:pt>
                  <c:pt idx="8">
                    <c:v>383440</c:v>
                  </c:pt>
                  <c:pt idx="9">
                    <c:v>383597</c:v>
                  </c:pt>
                  <c:pt idx="10">
                    <c:v>362838</c:v>
                  </c:pt>
                  <c:pt idx="11">
                    <c:v>282886</c:v>
                  </c:pt>
                  <c:pt idx="12">
                    <c:v>336846</c:v>
                  </c:pt>
                  <c:pt idx="13">
                    <c:v>320568</c:v>
                  </c:pt>
                  <c:pt idx="14">
                    <c:v>364109</c:v>
                  </c:pt>
                  <c:pt idx="15">
                    <c:v>378000</c:v>
                  </c:pt>
                  <c:pt idx="16">
                    <c:v>389248</c:v>
                  </c:pt>
                  <c:pt idx="17">
                    <c:v>375229</c:v>
                  </c:pt>
                  <c:pt idx="18">
                    <c:v>374983</c:v>
                  </c:pt>
                  <c:pt idx="19">
                    <c:v>360110</c:v>
                  </c:pt>
                  <c:pt idx="20">
                    <c:v>345944</c:v>
                  </c:pt>
                </c:lvl>
                <c:lvl>
                  <c:pt idx="0">
                    <c:v>2228.82</c:v>
                  </c:pt>
                  <c:pt idx="1">
                    <c:v>2558.21</c:v>
                  </c:pt>
                  <c:pt idx="2">
                    <c:v>2697.36</c:v>
                  </c:pt>
                  <c:pt idx="3">
                    <c:v>2783.11</c:v>
                  </c:pt>
                  <c:pt idx="4">
                    <c:v>2547.62</c:v>
                  </c:pt>
                  <c:pt idx="5">
                    <c:v>2610.92</c:v>
                  </c:pt>
                  <c:pt idx="6">
                    <c:v>2538.14</c:v>
                  </c:pt>
                  <c:pt idx="7">
                    <c:v>2632.99</c:v>
                  </c:pt>
                  <c:pt idx="8">
                    <c:v>2518.37</c:v>
                  </c:pt>
                  <c:pt idx="9">
                    <c:v>2475.05</c:v>
                  </c:pt>
                  <c:pt idx="10">
                    <c:v>2474.18</c:v>
                  </c:pt>
                  <c:pt idx="11">
                    <c:v>1894.38</c:v>
                  </c:pt>
                  <c:pt idx="12">
                    <c:v>2311.38</c:v>
                  </c:pt>
                  <c:pt idx="13">
                    <c:v>2349.01</c:v>
                  </c:pt>
                  <c:pt idx="14">
                    <c:v>2326.18</c:v>
                  </c:pt>
                  <c:pt idx="15">
                    <c:v>1836.69</c:v>
                  </c:pt>
                  <c:pt idx="16">
                    <c:v>2398.75</c:v>
                  </c:pt>
                  <c:pt idx="17">
                    <c:v>2428.06</c:v>
                  </c:pt>
                  <c:pt idx="18">
                    <c:v>2366.10</c:v>
                  </c:pt>
                  <c:pt idx="19">
                    <c:v>2398.32</c:v>
                  </c:pt>
                  <c:pt idx="20">
                    <c:v>2324.72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2199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1798</c:v>
                  </c:pt>
                  <c:pt idx="1">
                    <c:v>1904</c:v>
                  </c:pt>
                  <c:pt idx="2">
                    <c:v>2012</c:v>
                  </c:pt>
                  <c:pt idx="3">
                    <c:v>1995</c:v>
                  </c:pt>
                  <c:pt idx="4">
                    <c:v>1928</c:v>
                  </c:pt>
                  <c:pt idx="5">
                    <c:v>1968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1713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1781</c:v>
                  </c:pt>
                  <c:pt idx="14">
                    <c:v>1805</c:v>
                  </c:pt>
                  <c:pt idx="15">
                    <c:v>1539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1777</c:v>
                  </c:pt>
                  <c:pt idx="19">
                    <c:v>1802</c:v>
                  </c:pt>
                  <c:pt idx="20">
                    <c:v>1760</c:v>
                  </c:pt>
                </c:lvl>
                <c:lvl>
                  <c:pt idx="0">
                    <c:v>1732</c:v>
                  </c:pt>
                  <c:pt idx="1">
                    <c:v>1749</c:v>
                  </c:pt>
                  <c:pt idx="2">
                    <c:v>1860</c:v>
                  </c:pt>
                  <c:pt idx="3">
                    <c:v>1698</c:v>
                  </c:pt>
                  <c:pt idx="4">
                    <c:v>1725</c:v>
                  </c:pt>
                  <c:pt idx="5">
                    <c:v>1720</c:v>
                  </c:pt>
                  <c:pt idx="6">
                    <c:v>1693</c:v>
                  </c:pt>
                  <c:pt idx="7">
                    <c:v>1743</c:v>
                  </c:pt>
                  <c:pt idx="8">
                    <c:v>1625</c:v>
                  </c:pt>
                  <c:pt idx="9">
                    <c:v>1538</c:v>
                  </c:pt>
                  <c:pt idx="10">
                    <c:v>1778</c:v>
                  </c:pt>
                  <c:pt idx="11">
                    <c:v>1705</c:v>
                  </c:pt>
                  <c:pt idx="12">
                    <c:v>1774</c:v>
                  </c:pt>
                  <c:pt idx="13">
                    <c:v>1695</c:v>
                  </c:pt>
                  <c:pt idx="14">
                    <c:v>1692</c:v>
                  </c:pt>
                  <c:pt idx="15">
                    <c:v>1759</c:v>
                  </c:pt>
                  <c:pt idx="16">
                    <c:v>1629</c:v>
                  </c:pt>
                  <c:pt idx="17">
                    <c:v>1593</c:v>
                  </c:pt>
                  <c:pt idx="18">
                    <c:v>1532</c:v>
                  </c:pt>
                  <c:pt idx="19">
                    <c:v>1524</c:v>
                  </c:pt>
                  <c:pt idx="20">
                    <c:v>1498</c:v>
                  </c:pt>
                </c:lvl>
                <c:lvl>
                  <c:pt idx="0">
                    <c:v>945199</c:v>
                  </c:pt>
                  <c:pt idx="1">
                    <c:v>1014895</c:v>
                  </c:pt>
                  <c:pt idx="2">
                    <c:v>1143898</c:v>
                  </c:pt>
                  <c:pt idx="3">
                    <c:v>1142190</c:v>
                  </c:pt>
                  <c:pt idx="4">
                    <c:v>1080393</c:v>
                  </c:pt>
                  <c:pt idx="5">
                    <c:v>1071520</c:v>
                  </c:pt>
                  <c:pt idx="6">
                    <c:v>1076376</c:v>
                  </c:pt>
                  <c:pt idx="7">
                    <c:v>1116598</c:v>
                  </c:pt>
                  <c:pt idx="8">
                    <c:v>1033537</c:v>
                  </c:pt>
                  <c:pt idx="9">
                    <c:v>1049618</c:v>
                  </c:pt>
                  <c:pt idx="10">
                    <c:v>1015403</c:v>
                  </c:pt>
                  <c:pt idx="11">
                    <c:v>803368</c:v>
                  </c:pt>
                  <c:pt idx="12">
                    <c:v>980209</c:v>
                  </c:pt>
                  <c:pt idx="13">
                    <c:v>899765</c:v>
                  </c:pt>
                  <c:pt idx="14">
                    <c:v>986487</c:v>
                  </c:pt>
                  <c:pt idx="15">
                    <c:v>753777</c:v>
                  </c:pt>
                  <c:pt idx="16">
                    <c:v>1017260</c:v>
                  </c:pt>
                  <c:pt idx="17">
                    <c:v>996476</c:v>
                  </c:pt>
                  <c:pt idx="18">
                    <c:v>1003415</c:v>
                  </c:pt>
                  <c:pt idx="19">
                    <c:v>1017081</c:v>
                  </c:pt>
                  <c:pt idx="20">
                    <c:v>954067</c:v>
                  </c:pt>
                </c:lvl>
                <c:lvl>
                  <c:pt idx="0">
                    <c:v>141986</c:v>
                  </c:pt>
                  <c:pt idx="1">
                    <c:v>150228</c:v>
                  </c:pt>
                  <c:pt idx="2">
                    <c:v>160629</c:v>
                  </c:pt>
                  <c:pt idx="3">
                    <c:v>92039</c:v>
                  </c:pt>
                  <c:pt idx="4">
                    <c:v>73815</c:v>
                  </c:pt>
                  <c:pt idx="5">
                    <c:v>72019</c:v>
                  </c:pt>
                  <c:pt idx="6">
                    <c:v>78527</c:v>
                  </c:pt>
                  <c:pt idx="7">
                    <c:v>78101</c:v>
                  </c:pt>
                  <c:pt idx="8">
                    <c:v>69105</c:v>
                  </c:pt>
                  <c:pt idx="9">
                    <c:v>87420</c:v>
                  </c:pt>
                  <c:pt idx="10">
                    <c:v>149661</c:v>
                  </c:pt>
                  <c:pt idx="11">
                    <c:v>115374</c:v>
                  </c:pt>
                  <c:pt idx="12">
                    <c:v>150493</c:v>
                  </c:pt>
                  <c:pt idx="13">
                    <c:v>137541</c:v>
                  </c:pt>
                  <c:pt idx="14">
                    <c:v>145990</c:v>
                  </c:pt>
                  <c:pt idx="15">
                    <c:v>56501</c:v>
                  </c:pt>
                  <c:pt idx="16">
                    <c:v>71617</c:v>
                  </c:pt>
                  <c:pt idx="17">
                    <c:v>69202</c:v>
                  </c:pt>
                  <c:pt idx="18">
                    <c:v>73589</c:v>
                  </c:pt>
                  <c:pt idx="19">
                    <c:v>68684</c:v>
                  </c:pt>
                  <c:pt idx="20">
                    <c:v>67117</c:v>
                  </c:pt>
                </c:lvl>
                <c:lvl>
                  <c:pt idx="0">
                    <c:v>528463</c:v>
                  </c:pt>
                  <c:pt idx="1">
                    <c:v>560167</c:v>
                  </c:pt>
                  <c:pt idx="2">
                    <c:v>643769</c:v>
                  </c:pt>
                  <c:pt idx="3">
                    <c:v>712401</c:v>
                  </c:pt>
                  <c:pt idx="4">
                    <c:v>667425</c:v>
                  </c:pt>
                  <c:pt idx="5">
                    <c:v>663345</c:v>
                  </c:pt>
                  <c:pt idx="6">
                    <c:v>685539</c:v>
                  </c:pt>
                  <c:pt idx="7">
                    <c:v>706495</c:v>
                  </c:pt>
                  <c:pt idx="8">
                    <c:v>633961</c:v>
                  </c:pt>
                  <c:pt idx="9">
                    <c:v>640990</c:v>
                  </c:pt>
                  <c:pt idx="10">
                    <c:v>547998</c:v>
                  </c:pt>
                  <c:pt idx="11">
                    <c:v>421137</c:v>
                  </c:pt>
                  <c:pt idx="12">
                    <c:v>539148</c:v>
                  </c:pt>
                  <c:pt idx="13">
                    <c:v>480769</c:v>
                  </c:pt>
                  <c:pt idx="14">
                    <c:v>524576</c:v>
                  </c:pt>
                  <c:pt idx="15">
                    <c:v>467943</c:v>
                  </c:pt>
                  <c:pt idx="16">
                    <c:v>631629</c:v>
                  </c:pt>
                  <c:pt idx="17">
                    <c:v>617882</c:v>
                  </c:pt>
                  <c:pt idx="18">
                    <c:v>637645</c:v>
                  </c:pt>
                  <c:pt idx="19">
                    <c:v>636185</c:v>
                  </c:pt>
                  <c:pt idx="20">
                    <c:v>603860</c:v>
                  </c:pt>
                </c:lvl>
                <c:lvl>
                  <c:pt idx="0">
                    <c:v>274750</c:v>
                  </c:pt>
                  <c:pt idx="1">
                    <c:v>304500</c:v>
                  </c:pt>
                  <c:pt idx="2">
                    <c:v>339500</c:v>
                  </c:pt>
                  <c:pt idx="3">
                    <c:v>337750</c:v>
                  </c:pt>
                  <c:pt idx="4">
                    <c:v>339153</c:v>
                  </c:pt>
                  <c:pt idx="5">
                    <c:v>336156</c:v>
                  </c:pt>
                  <c:pt idx="6">
                    <c:v>312310</c:v>
                  </c:pt>
                  <c:pt idx="7">
                    <c:v>332002</c:v>
                  </c:pt>
                  <c:pt idx="8">
                    <c:v>330471</c:v>
                  </c:pt>
                  <c:pt idx="9">
                    <c:v>321208</c:v>
                  </c:pt>
                  <c:pt idx="10">
                    <c:v>317744</c:v>
                  </c:pt>
                  <c:pt idx="11">
                    <c:v>266857</c:v>
                  </c:pt>
                  <c:pt idx="12">
                    <c:v>290568</c:v>
                  </c:pt>
                  <c:pt idx="13">
                    <c:v>281455</c:v>
                  </c:pt>
                  <c:pt idx="14">
                    <c:v>315921</c:v>
                  </c:pt>
                  <c:pt idx="15">
                    <c:v>229333</c:v>
                  </c:pt>
                  <c:pt idx="16">
                    <c:v>314014</c:v>
                  </c:pt>
                  <c:pt idx="17">
                    <c:v>309392</c:v>
                  </c:pt>
                  <c:pt idx="18">
                    <c:v>292181</c:v>
                  </c:pt>
                  <c:pt idx="19">
                    <c:v>312212</c:v>
                  </c:pt>
                  <c:pt idx="20">
                    <c:v>283090</c:v>
                  </c:pt>
                </c:lvl>
                <c:lvl>
                  <c:pt idx="0">
                    <c:v>31</c:v>
                  </c:pt>
                  <c:pt idx="1">
                    <c:v>29</c:v>
                  </c:pt>
                  <c:pt idx="2">
                    <c:v>31</c:v>
                  </c:pt>
                  <c:pt idx="3">
                    <c:v>30</c:v>
                  </c:pt>
                  <c:pt idx="4">
                    <c:v>31</c:v>
                  </c:pt>
                  <c:pt idx="5">
                    <c:v>30</c:v>
                  </c:pt>
                  <c:pt idx="6">
                    <c:v>31</c:v>
                  </c:pt>
                  <c:pt idx="7">
                    <c:v>31</c:v>
                  </c:pt>
                  <c:pt idx="8">
                    <c:v>30</c:v>
                  </c:pt>
                  <c:pt idx="9">
                    <c:v>31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31</c:v>
                  </c:pt>
                  <c:pt idx="13">
                    <c:v>28</c:v>
                  </c:pt>
                  <c:pt idx="14">
                    <c:v>31</c:v>
                  </c:pt>
                  <c:pt idx="15">
                    <c:v>30</c:v>
                  </c:pt>
                  <c:pt idx="16">
                    <c:v>31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31</c:v>
                  </c:pt>
                  <c:pt idx="20">
                    <c:v>30</c:v>
                  </c:pt>
                </c:lvl>
                <c:lvl>
                  <c:pt idx="0">
                    <c:v>31/01/2024</c:v>
                  </c:pt>
                  <c:pt idx="1">
                    <c:v>29/02/2024</c:v>
                  </c:pt>
                  <c:pt idx="2">
                    <c:v>31/03/2024</c:v>
                  </c:pt>
                  <c:pt idx="3">
                    <c:v>30/04/2024</c:v>
                  </c:pt>
                  <c:pt idx="4">
                    <c:v>31/05/2024</c:v>
                  </c:pt>
                  <c:pt idx="5">
                    <c:v>30/06/2024</c:v>
                  </c:pt>
                  <c:pt idx="6">
                    <c:v>31/07/2024</c:v>
                  </c:pt>
                  <c:pt idx="7">
                    <c:v>31/08/2024</c:v>
                  </c:pt>
                  <c:pt idx="8">
                    <c:v>30/09/2024</c:v>
                  </c:pt>
                  <c:pt idx="9">
                    <c:v>31/10/2024</c:v>
                  </c:pt>
                  <c:pt idx="10">
                    <c:v>30/11/2024</c:v>
                  </c:pt>
                  <c:pt idx="11">
                    <c:v>31/12/2024</c:v>
                  </c:pt>
                  <c:pt idx="12">
                    <c:v>31/01/2025</c:v>
                  </c:pt>
                  <c:pt idx="13">
                    <c:v>28/02/2025</c:v>
                  </c:pt>
                  <c:pt idx="14">
                    <c:v>31/03/2025</c:v>
                  </c:pt>
                  <c:pt idx="15">
                    <c:v>30/04/2025</c:v>
                  </c:pt>
                  <c:pt idx="16">
                    <c:v>31/05/2025</c:v>
                  </c:pt>
                  <c:pt idx="17">
                    <c:v>30/06/2025</c:v>
                  </c:pt>
                  <c:pt idx="18">
                    <c:v>31/07/2025</c:v>
                  </c:pt>
                  <c:pt idx="19">
                    <c:v>31/08/2025</c:v>
                  </c:pt>
                  <c:pt idx="20">
                    <c:v>30/09/2025</c:v>
                  </c:pt>
                </c:lvl>
              </c:multiLvlStrCache>
            </c:multiLvlStrRef>
          </c:cat>
          <c:val>
            <c:numRef>
              <c:f>Hoja1!$AQ$3:$AQ$23</c:f>
              <c:numCache>
                <c:formatCode>0.0</c:formatCode>
                <c:ptCount val="21"/>
                <c:pt idx="0">
                  <c:v>59037.190082644629</c:v>
                </c:pt>
                <c:pt idx="1">
                  <c:v>70687.5</c:v>
                </c:pt>
                <c:pt idx="2">
                  <c:v>86201.171875</c:v>
                </c:pt>
                <c:pt idx="3">
                  <c:v>69830.168776371313</c:v>
                </c:pt>
                <c:pt idx="4">
                  <c:v>67270.016528925626</c:v>
                </c:pt>
                <c:pt idx="5">
                  <c:v>80677.440000000002</c:v>
                </c:pt>
                <c:pt idx="6">
                  <c:v>61945.78512396694</c:v>
                </c:pt>
                <c:pt idx="7">
                  <c:v>65580.641975308637</c:v>
                </c:pt>
                <c:pt idx="8">
                  <c:v>79631.566265060246</c:v>
                </c:pt>
                <c:pt idx="9">
                  <c:v>63975.037344398341</c:v>
                </c:pt>
                <c:pt idx="10">
                  <c:v>70758.117647058825</c:v>
                </c:pt>
                <c:pt idx="11">
                  <c:v>67239.559055118109</c:v>
                </c:pt>
                <c:pt idx="12">
                  <c:v>62436.099173553717</c:v>
                </c:pt>
                <c:pt idx="13">
                  <c:v>65337.767857142855</c:v>
                </c:pt>
                <c:pt idx="14">
                  <c:v>80214.31640625</c:v>
                </c:pt>
                <c:pt idx="15">
                  <c:v>47414.839662447259</c:v>
                </c:pt>
                <c:pt idx="16">
                  <c:v>62283.768595041322</c:v>
                </c:pt>
                <c:pt idx="17">
                  <c:v>74254.080000000002</c:v>
                </c:pt>
                <c:pt idx="18">
                  <c:v>57953.25619834711</c:v>
                </c:pt>
                <c:pt idx="19">
                  <c:v>61671.506172839509</c:v>
                </c:pt>
                <c:pt idx="20">
                  <c:v>68214.457831325301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DB-4C5A-9BB5-44A0BCD50CF4}"/>
            </c:ext>
          </c:extLst>
        </c:ser>
        <c:ser>
          <c:idx val="7"/>
          <c:order val="8"/>
          <c:tx>
            <c:strRef>
              <c:f>Hoja1!$AR$2</c:f>
              <c:strCache>
                <c:ptCount val="1"/>
                <c:pt idx="0">
                  <c:v>CONSUMO INTERMEDIO EN HORAS SOLARES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Hoja1!$B$3:$AJ$23</c:f>
              <c:multiLvlStrCache>
                <c:ptCount val="21"/>
                <c:lvl>
                  <c:pt idx="7">
                    <c:v>NET MET </c:v>
                  </c:pt>
                  <c:pt idx="8">
                    <c:v>NET MET </c:v>
                  </c:pt>
                  <c:pt idx="9">
                    <c:v>NET MET </c:v>
                  </c:pt>
                  <c:pt idx="10">
                    <c:v>NET MET </c:v>
                  </c:pt>
                  <c:pt idx="11">
                    <c:v>NET MET </c:v>
                  </c:pt>
                  <c:pt idx="12">
                    <c:v>NET MET </c:v>
                  </c:pt>
                  <c:pt idx="13">
                    <c:v>NET MET </c:v>
                  </c:pt>
                  <c:pt idx="14">
                    <c:v>NET MET </c:v>
                  </c:pt>
                  <c:pt idx="15">
                    <c:v>NET MET </c:v>
                  </c:pt>
                  <c:pt idx="16">
                    <c:v>NET MET </c:v>
                  </c:pt>
                  <c:pt idx="17">
                    <c:v>NET MET </c:v>
                  </c:pt>
                  <c:pt idx="18">
                    <c:v>NET MET </c:v>
                  </c:pt>
                  <c:pt idx="19">
                    <c:v>NET MET </c:v>
                  </c:pt>
                  <c:pt idx="20">
                    <c:v>NET MET </c:v>
                  </c:pt>
                </c:lvl>
                <c:lvl>
                  <c:pt idx="0">
                    <c:v>$3,139,386.73</c:v>
                  </c:pt>
                  <c:pt idx="1">
                    <c:v>$3,382,391.85</c:v>
                  </c:pt>
                  <c:pt idx="2">
                    <c:v>$3,654,425.48</c:v>
                  </c:pt>
                  <c:pt idx="3">
                    <c:v>$2,667,773.08</c:v>
                  </c:pt>
                  <c:pt idx="4">
                    <c:v>$3,539,097.01</c:v>
                  </c:pt>
                  <c:pt idx="5">
                    <c:v>$3,535,459.65</c:v>
                  </c:pt>
                  <c:pt idx="6">
                    <c:v>$3,611,655.71</c:v>
                  </c:pt>
                  <c:pt idx="7">
                    <c:v>$3,721,605.57</c:v>
                  </c:pt>
                  <c:pt idx="8">
                    <c:v>$3,470,852.69</c:v>
                  </c:pt>
                  <c:pt idx="9">
                    <c:v>$3,505,262.83</c:v>
                  </c:pt>
                  <c:pt idx="10">
                    <c:v>$3,423,297.38</c:v>
                  </c:pt>
                  <c:pt idx="11">
                    <c:v>$2,879,446.80</c:v>
                  </c:pt>
                  <c:pt idx="12">
                    <c:v>$3,326,870.11</c:v>
                  </c:pt>
                  <c:pt idx="13">
                    <c:v>$3,159,111.38</c:v>
                  </c:pt>
                  <c:pt idx="14">
                    <c:v>$3,360,342.25</c:v>
                  </c:pt>
                  <c:pt idx="15">
                    <c:v>$3,159,586.64</c:v>
                  </c:pt>
                  <c:pt idx="16">
                    <c:v>$3,435,152.63</c:v>
                  </c:pt>
                  <c:pt idx="17">
                    <c:v>$3,469,952.56</c:v>
                  </c:pt>
                  <c:pt idx="18">
                    <c:v>$3,528,886.77</c:v>
                  </c:pt>
                  <c:pt idx="19">
                    <c:v>$3,506,402.47</c:v>
                  </c:pt>
                  <c:pt idx="20">
                    <c:v>$3,145,778.60</c:v>
                  </c:pt>
                </c:lvl>
                <c:lvl>
                  <c:pt idx="0">
                    <c:v>$3,139,385.89</c:v>
                  </c:pt>
                  <c:pt idx="1">
                    <c:v>$3,382,391.13</c:v>
                  </c:pt>
                  <c:pt idx="2">
                    <c:v>$3,654,424.63</c:v>
                  </c:pt>
                  <c:pt idx="3">
                    <c:v>$2,728,638.96</c:v>
                  </c:pt>
                  <c:pt idx="4">
                    <c:v>$3,539,096.92</c:v>
                  </c:pt>
                  <c:pt idx="5">
                    <c:v>$3,535,459.64</c:v>
                  </c:pt>
                  <c:pt idx="6">
                    <c:v>$3,611,655.06</c:v>
                  </c:pt>
                  <c:pt idx="7">
                    <c:v>$3,721,604.85</c:v>
                  </c:pt>
                  <c:pt idx="8">
                    <c:v>$3,470,852.11</c:v>
                  </c:pt>
                  <c:pt idx="9">
                    <c:v>$3,458,352.78</c:v>
                  </c:pt>
                  <c:pt idx="10">
                    <c:v>$3,423,296.55</c:v>
                  </c:pt>
                  <c:pt idx="11">
                    <c:v>$2,879,446.43</c:v>
                  </c:pt>
                  <c:pt idx="12">
                    <c:v>$3,326,869.33</c:v>
                  </c:pt>
                  <c:pt idx="13">
                    <c:v>$3,159,111.26</c:v>
                  </c:pt>
                  <c:pt idx="14">
                    <c:v>$3,360,341.87</c:v>
                  </c:pt>
                  <c:pt idx="15">
                    <c:v>$2,855,734.72</c:v>
                  </c:pt>
                  <c:pt idx="16">
                    <c:v>$3,435,151.97</c:v>
                  </c:pt>
                  <c:pt idx="17">
                    <c:v>$3,469,951.94</c:v>
                  </c:pt>
                  <c:pt idx="18">
                    <c:v>$3,528,886.22</c:v>
                  </c:pt>
                  <c:pt idx="19">
                    <c:v>$3,506,401.69</c:v>
                  </c:pt>
                  <c:pt idx="20">
                    <c:v>$3,362,728.34</c:v>
                  </c:pt>
                </c:lvl>
                <c:lvl>
                  <c:pt idx="0">
                    <c:v>$202,541.03</c:v>
                  </c:pt>
                  <c:pt idx="1">
                    <c:v>$218,218.78</c:v>
                  </c:pt>
                  <c:pt idx="2">
                    <c:v>$235,769.33</c:v>
                  </c:pt>
                  <c:pt idx="3">
                    <c:v>$176,041.22</c:v>
                  </c:pt>
                  <c:pt idx="4">
                    <c:v>$228,328.83</c:v>
                  </c:pt>
                  <c:pt idx="5">
                    <c:v>$228,094.17</c:v>
                  </c:pt>
                  <c:pt idx="6">
                    <c:v>$233,010.00</c:v>
                  </c:pt>
                  <c:pt idx="7">
                    <c:v>$240,103.54</c:v>
                  </c:pt>
                  <c:pt idx="8">
                    <c:v>$223,925.94</c:v>
                  </c:pt>
                  <c:pt idx="9">
                    <c:v>$223,119.53</c:v>
                  </c:pt>
                  <c:pt idx="10">
                    <c:v>$220,857.84</c:v>
                  </c:pt>
                  <c:pt idx="11">
                    <c:v>$185,770.74</c:v>
                  </c:pt>
                  <c:pt idx="12">
                    <c:v>$214,636.73</c:v>
                  </c:pt>
                  <c:pt idx="13">
                    <c:v>$203,813.63</c:v>
                  </c:pt>
                  <c:pt idx="14">
                    <c:v>$216,796.25</c:v>
                  </c:pt>
                  <c:pt idx="15">
                    <c:v>$184,240.95</c:v>
                  </c:pt>
                  <c:pt idx="16">
                    <c:v>$221,622.71</c:v>
                  </c:pt>
                  <c:pt idx="17">
                    <c:v>$223,867.87</c:v>
                  </c:pt>
                  <c:pt idx="18">
                    <c:v>$227,670.08</c:v>
                  </c:pt>
                  <c:pt idx="19">
                    <c:v>$226,219.46</c:v>
                  </c:pt>
                  <c:pt idx="20">
                    <c:v>$216,950.22</c:v>
                  </c:pt>
                </c:lvl>
                <c:lvl>
                  <c:pt idx="0">
                    <c:v>$405,082.05</c:v>
                  </c:pt>
                  <c:pt idx="1">
                    <c:v>$436,437.57</c:v>
                  </c:pt>
                  <c:pt idx="2">
                    <c:v>$471,538.66</c:v>
                  </c:pt>
                  <c:pt idx="3">
                    <c:v>$352,082.45</c:v>
                  </c:pt>
                  <c:pt idx="4">
                    <c:v>$456,657.67</c:v>
                  </c:pt>
                  <c:pt idx="5">
                    <c:v>$456,188.34</c:v>
                  </c:pt>
                  <c:pt idx="6">
                    <c:v>$466,020.01</c:v>
                  </c:pt>
                  <c:pt idx="7">
                    <c:v>$480,207.08</c:v>
                  </c:pt>
                  <c:pt idx="8">
                    <c:v>$447,851.89</c:v>
                  </c:pt>
                  <c:pt idx="9">
                    <c:v>$446,239.07</c:v>
                  </c:pt>
                  <c:pt idx="10">
                    <c:v>$441,715.68</c:v>
                  </c:pt>
                  <c:pt idx="11">
                    <c:v>$371,541.47</c:v>
                  </c:pt>
                  <c:pt idx="12">
                    <c:v>$429,273.46</c:v>
                  </c:pt>
                  <c:pt idx="13">
                    <c:v>$407,627.26</c:v>
                  </c:pt>
                  <c:pt idx="14">
                    <c:v>$433,592.50</c:v>
                  </c:pt>
                  <c:pt idx="15">
                    <c:v>$368,481.90</c:v>
                  </c:pt>
                  <c:pt idx="16">
                    <c:v>$443,245.42</c:v>
                  </c:pt>
                  <c:pt idx="17">
                    <c:v>$447,735.73</c:v>
                  </c:pt>
                  <c:pt idx="18">
                    <c:v>$455,340.16</c:v>
                  </c:pt>
                  <c:pt idx="19">
                    <c:v>$452,438.93</c:v>
                  </c:pt>
                  <c:pt idx="20">
                    <c:v>$433,900.43</c:v>
                  </c:pt>
                </c:lvl>
                <c:lvl>
                  <c:pt idx="0">
                    <c:v>$2,531,762.82</c:v>
                  </c:pt>
                  <c:pt idx="1">
                    <c:v>$2,727,734.78</c:v>
                  </c:pt>
                  <c:pt idx="2">
                    <c:v>$2,947,116.63</c:v>
                  </c:pt>
                  <c:pt idx="3">
                    <c:v>$2,200,515.29</c:v>
                  </c:pt>
                  <c:pt idx="4">
                    <c:v>$2,854,110.42</c:v>
                  </c:pt>
                  <c:pt idx="5">
                    <c:v>$2,851,177.13</c:v>
                  </c:pt>
                  <c:pt idx="6">
                    <c:v>$2,912,625.05</c:v>
                  </c:pt>
                  <c:pt idx="7">
                    <c:v>$3,001,294.23</c:v>
                  </c:pt>
                  <c:pt idx="8">
                    <c:v>$2,799,074.29</c:v>
                  </c:pt>
                  <c:pt idx="9">
                    <c:v>$2,788,994.18</c:v>
                  </c:pt>
                  <c:pt idx="10">
                    <c:v>$2,760,723.02</c:v>
                  </c:pt>
                  <c:pt idx="11">
                    <c:v>$2,322,134.22</c:v>
                  </c:pt>
                  <c:pt idx="12">
                    <c:v>$2,682,959.14</c:v>
                  </c:pt>
                  <c:pt idx="13">
                    <c:v>$2,547,670.37</c:v>
                  </c:pt>
                  <c:pt idx="14">
                    <c:v>$2,709,953.12</c:v>
                  </c:pt>
                  <c:pt idx="15">
                    <c:v>$2,303,011.87</c:v>
                  </c:pt>
                  <c:pt idx="16">
                    <c:v>$2,770,283.84</c:v>
                  </c:pt>
                  <c:pt idx="17">
                    <c:v>$2,798,348.34</c:v>
                  </c:pt>
                  <c:pt idx="18">
                    <c:v>$2,845,875.98</c:v>
                  </c:pt>
                  <c:pt idx="19">
                    <c:v>$2,827,743.30</c:v>
                  </c:pt>
                  <c:pt idx="20">
                    <c:v>$2,711,877.70</c:v>
                  </c:pt>
                </c:lvl>
                <c:lvl>
                  <c:pt idx="0">
                    <c:v>$7,572.57</c:v>
                  </c:pt>
                  <c:pt idx="1">
                    <c:v>$13,570.82</c:v>
                  </c:pt>
                  <c:pt idx="2">
                    <c:v>$14,662.27</c:v>
                  </c:pt>
                  <c:pt idx="3">
                    <c:v>$0.00</c:v>
                  </c:pt>
                  <c:pt idx="4">
                    <c:v>$33,843.21</c:v>
                  </c:pt>
                  <c:pt idx="5">
                    <c:v>$33,808.42</c:v>
                  </c:pt>
                  <c:pt idx="6">
                    <c:v>$28,837.87</c:v>
                  </c:pt>
                  <c:pt idx="7">
                    <c:v>$26,770.71</c:v>
                  </c:pt>
                  <c:pt idx="8">
                    <c:v>$22,214.88</c:v>
                  </c:pt>
                  <c:pt idx="9">
                    <c:v>$16,634.16</c:v>
                  </c:pt>
                  <c:pt idx="10">
                    <c:v>$13,734.94</c:v>
                  </c:pt>
                  <c:pt idx="11">
                    <c:v>$9,251.53</c:v>
                  </c:pt>
                  <c:pt idx="12">
                    <c:v>$8,024.80</c:v>
                  </c:pt>
                  <c:pt idx="13">
                    <c:v>$12,674.98</c:v>
                  </c:pt>
                  <c:pt idx="14">
                    <c:v>$21,507.56</c:v>
                  </c:pt>
                  <c:pt idx="15">
                    <c:v>$27,308.44</c:v>
                  </c:pt>
                  <c:pt idx="16">
                    <c:v>$27,428.55</c:v>
                  </c:pt>
                  <c:pt idx="17">
                    <c:v>$24,960.49</c:v>
                  </c:pt>
                  <c:pt idx="18">
                    <c:v>$25,384.42</c:v>
                  </c:pt>
                  <c:pt idx="19">
                    <c:v>$14,068.37</c:v>
                  </c:pt>
                  <c:pt idx="20">
                    <c:v>$16,174.22</c:v>
                  </c:pt>
                </c:lvl>
                <c:lvl>
                  <c:pt idx="0">
                    <c:v>0.30%</c:v>
                  </c:pt>
                  <c:pt idx="1">
                    <c:v>0.50%</c:v>
                  </c:pt>
                  <c:pt idx="2">
                    <c:v>0.50%</c:v>
                  </c:pt>
                  <c:pt idx="3">
                    <c:v>0.00%</c:v>
                  </c:pt>
                  <c:pt idx="4">
                    <c:v>1.20%</c:v>
                  </c:pt>
                  <c:pt idx="5">
                    <c:v>1.20%</c:v>
                  </c:pt>
                  <c:pt idx="6">
                    <c:v>1.00%</c:v>
                  </c:pt>
                  <c:pt idx="7">
                    <c:v>0.90%</c:v>
                  </c:pt>
                  <c:pt idx="8">
                    <c:v>0.80%</c:v>
                  </c:pt>
                  <c:pt idx="9">
                    <c:v>0.60%</c:v>
                  </c:pt>
                  <c:pt idx="10">
                    <c:v>0.50%</c:v>
                  </c:pt>
                  <c:pt idx="11">
                    <c:v>0.40%</c:v>
                  </c:pt>
                  <c:pt idx="12">
                    <c:v>0.30%</c:v>
                  </c:pt>
                  <c:pt idx="13">
                    <c:v>0.50%</c:v>
                  </c:pt>
                  <c:pt idx="14">
                    <c:v>0.80%</c:v>
                  </c:pt>
                  <c:pt idx="15">
                    <c:v>1.20%</c:v>
                  </c:pt>
                  <c:pt idx="16">
                    <c:v>1.00%</c:v>
                  </c:pt>
                  <c:pt idx="17">
                    <c:v>0.90%</c:v>
                  </c:pt>
                  <c:pt idx="18">
                    <c:v>0.90%</c:v>
                  </c:pt>
                  <c:pt idx="19">
                    <c:v>0.50%</c:v>
                  </c:pt>
                  <c:pt idx="20">
                    <c:v>0.60%</c:v>
                  </c:pt>
                </c:lvl>
                <c:lvl>
                  <c:pt idx="0">
                    <c:v>$2,523,827.65</c:v>
                  </c:pt>
                  <c:pt idx="1">
                    <c:v>$2,713,801.36</c:v>
                  </c:pt>
                  <c:pt idx="2">
                    <c:v>$2,932,091.76</c:v>
                  </c:pt>
                  <c:pt idx="3">
                    <c:v>$2,200,152.69</c:v>
                  </c:pt>
                  <c:pt idx="4">
                    <c:v>$2,819,904.61</c:v>
                  </c:pt>
                  <c:pt idx="5">
                    <c:v>$2,817,006.11</c:v>
                  </c:pt>
                  <c:pt idx="6">
                    <c:v>$2,883,424.57</c:v>
                  </c:pt>
                  <c:pt idx="7">
                    <c:v>$2,974,160.92</c:v>
                  </c:pt>
                  <c:pt idx="8">
                    <c:v>$2,776,496.81</c:v>
                  </c:pt>
                  <c:pt idx="9">
                    <c:v>$2,771,997.42</c:v>
                  </c:pt>
                  <c:pt idx="10">
                    <c:v>$2,746,625.48</c:v>
                  </c:pt>
                  <c:pt idx="11">
                    <c:v>$2,312,520.09</c:v>
                  </c:pt>
                  <c:pt idx="12">
                    <c:v>$2,674,565.39</c:v>
                  </c:pt>
                  <c:pt idx="13">
                    <c:v>$2,534,626.44</c:v>
                  </c:pt>
                  <c:pt idx="14">
                    <c:v>$2,688,076.61</c:v>
                  </c:pt>
                  <c:pt idx="15">
                    <c:v>$2,275,334.48</c:v>
                  </c:pt>
                  <c:pt idx="16">
                    <c:v>$2,742,486.34</c:v>
                  </c:pt>
                  <c:pt idx="17">
                    <c:v>$2,773,018.90</c:v>
                  </c:pt>
                  <c:pt idx="18">
                    <c:v>$2,820,122.61</c:v>
                  </c:pt>
                  <c:pt idx="19">
                    <c:v>$2,813,305.98</c:v>
                  </c:pt>
                  <c:pt idx="20">
                    <c:v>$2,695,334.53</c:v>
                  </c:pt>
                </c:lvl>
                <c:lvl>
                  <c:pt idx="0">
                    <c:v>$727,905.75</c:v>
                  </c:pt>
                  <c:pt idx="1">
                    <c:v>$785,361.39</c:v>
                  </c:pt>
                  <c:pt idx="2">
                    <c:v>$754,425.62</c:v>
                  </c:pt>
                  <c:pt idx="3">
                    <c:v>$42,889.35</c:v>
                  </c:pt>
                  <c:pt idx="4">
                    <c:v>$795,291.09</c:v>
                  </c:pt>
                  <c:pt idx="5">
                    <c:v>$805,094.37</c:v>
                  </c:pt>
                  <c:pt idx="6">
                    <c:v>$799,718.08</c:v>
                  </c:pt>
                  <c:pt idx="7">
                    <c:v>$811,328.05</c:v>
                  </c:pt>
                  <c:pt idx="8">
                    <c:v>$787,216.02</c:v>
                  </c:pt>
                  <c:pt idx="9">
                    <c:v>$738,932.80</c:v>
                  </c:pt>
                  <c:pt idx="10">
                    <c:v>$765,607.83</c:v>
                  </c:pt>
                  <c:pt idx="11">
                    <c:v>$737,018.47</c:v>
                  </c:pt>
                  <c:pt idx="12">
                    <c:v>$738,819.38</c:v>
                  </c:pt>
                  <c:pt idx="13">
                    <c:v>$758,989.74</c:v>
                  </c:pt>
                  <c:pt idx="14">
                    <c:v>$764,803.41</c:v>
                  </c:pt>
                  <c:pt idx="15">
                    <c:v>$764,381.10</c:v>
                  </c:pt>
                  <c:pt idx="16">
                    <c:v>$772,827.30</c:v>
                  </c:pt>
                  <c:pt idx="17">
                    <c:v>$803,720.06</c:v>
                  </c:pt>
                  <c:pt idx="18">
                    <c:v>$799,530.04</c:v>
                  </c:pt>
                  <c:pt idx="19">
                    <c:v>$783,943.12</c:v>
                  </c:pt>
                  <c:pt idx="20">
                    <c:v>$781,560.95</c:v>
                  </c:pt>
                </c:lvl>
                <c:lvl>
                  <c:pt idx="0">
                    <c:v>$184,676.25</c:v>
                  </c:pt>
                  <c:pt idx="1">
                    <c:v>$198,107.25</c:v>
                  </c:pt>
                  <c:pt idx="2">
                    <c:v>$204,721.00</c:v>
                  </c:pt>
                  <c:pt idx="3">
                    <c:v>$204,721.00</c:v>
                  </c:pt>
                  <c:pt idx="4">
                    <c:v>$198,107.25</c:v>
                  </c:pt>
                  <c:pt idx="5">
                    <c:v>$200,549.25</c:v>
                  </c:pt>
                  <c:pt idx="6">
                    <c:v>$194,444.25</c:v>
                  </c:pt>
                  <c:pt idx="7">
                    <c:v>$195,868.75</c:v>
                  </c:pt>
                  <c:pt idx="8">
                    <c:v>$189,967.25</c:v>
                  </c:pt>
                  <c:pt idx="9">
                    <c:v>$188,034.00</c:v>
                  </c:pt>
                  <c:pt idx="10">
                    <c:v>$184,065.75</c:v>
                  </c:pt>
                  <c:pt idx="11">
                    <c:v>$189,255.00</c:v>
                  </c:pt>
                  <c:pt idx="12">
                    <c:v>$189,404.80</c:v>
                  </c:pt>
                  <c:pt idx="13">
                    <c:v>$183,485.90</c:v>
                  </c:pt>
                  <c:pt idx="14">
                    <c:v>$184,812.55</c:v>
                  </c:pt>
                  <c:pt idx="15">
                    <c:v>$187,434.07</c:v>
                  </c:pt>
                  <c:pt idx="16">
                    <c:v>$188,792.50</c:v>
                  </c:pt>
                  <c:pt idx="17">
                    <c:v>$189,915.05</c:v>
                  </c:pt>
                  <c:pt idx="18">
                    <c:v>$185,935.10</c:v>
                  </c:pt>
                  <c:pt idx="19">
                    <c:v>$183,894.10</c:v>
                  </c:pt>
                  <c:pt idx="20">
                    <c:v>$183,179.75</c:v>
                  </c:pt>
                </c:lvl>
                <c:lvl>
                  <c:pt idx="0">
                    <c:v>$308,847.95</c:v>
                  </c:pt>
                  <c:pt idx="1">
                    <c:v>$328,503.57</c:v>
                  </c:pt>
                  <c:pt idx="2">
                    <c:v>$355,295.29</c:v>
                  </c:pt>
                  <c:pt idx="3">
                    <c:v>$203,590.27</c:v>
                  </c:pt>
                  <c:pt idx="4">
                    <c:v>$163,278.78</c:v>
                  </c:pt>
                  <c:pt idx="5">
                    <c:v>$159,306.03</c:v>
                  </c:pt>
                  <c:pt idx="6">
                    <c:v>$178,193.47</c:v>
                  </c:pt>
                  <c:pt idx="7">
                    <c:v>$178,632.61</c:v>
                  </c:pt>
                  <c:pt idx="8">
                    <c:v>$158,063.87</c:v>
                  </c:pt>
                  <c:pt idx="9">
                    <c:v>$199,964.51</c:v>
                  </c:pt>
                  <c:pt idx="10">
                    <c:v>$342,319.61</c:v>
                  </c:pt>
                  <c:pt idx="11">
                    <c:v>$259,868.40</c:v>
                  </c:pt>
                  <c:pt idx="12">
                    <c:v>$343,169.19</c:v>
                  </c:pt>
                  <c:pt idx="13">
                    <c:v>$314,088.63</c:v>
                  </c:pt>
                  <c:pt idx="14">
                    <c:v>$333,514.16</c:v>
                  </c:pt>
                  <c:pt idx="15">
                    <c:v>$129,076.53</c:v>
                  </c:pt>
                  <c:pt idx="16">
                    <c:v>$163,609.04</c:v>
                  </c:pt>
                  <c:pt idx="17">
                    <c:v>$161,531.31</c:v>
                  </c:pt>
                  <c:pt idx="18">
                    <c:v>$174,133.65</c:v>
                  </c:pt>
                  <c:pt idx="19">
                    <c:v>$162,733.00</c:v>
                  </c:pt>
                  <c:pt idx="20">
                    <c:v>$157,959.86</c:v>
                  </c:pt>
                </c:lvl>
                <c:lvl>
                  <c:pt idx="0">
                    <c:v>$1,008,360.25</c:v>
                  </c:pt>
                  <c:pt idx="1">
                    <c:v>$1,074,400.31</c:v>
                  </c:pt>
                  <c:pt idx="2">
                    <c:v>$1,248,783.11</c:v>
                  </c:pt>
                  <c:pt idx="3">
                    <c:v>$1,381,986.70</c:v>
                  </c:pt>
                  <c:pt idx="4">
                    <c:v>$1,294,737.76</c:v>
                  </c:pt>
                  <c:pt idx="5">
                    <c:v>$1,286,822.97</c:v>
                  </c:pt>
                  <c:pt idx="6">
                    <c:v>$1,363,811.29</c:v>
                  </c:pt>
                  <c:pt idx="7">
                    <c:v>$1,416,522.48</c:v>
                  </c:pt>
                  <c:pt idx="8">
                    <c:v>$1,271,155.20</c:v>
                  </c:pt>
                  <c:pt idx="9">
                    <c:v>$1,285,313.15</c:v>
                  </c:pt>
                  <c:pt idx="10">
                    <c:v>$1,098,790.79</c:v>
                  </c:pt>
                  <c:pt idx="11">
                    <c:v>$831,661.35</c:v>
                  </c:pt>
                  <c:pt idx="12">
                    <c:v>$1,078,026.43</c:v>
                  </c:pt>
                  <c:pt idx="13">
                    <c:v>$962,691.85</c:v>
                  </c:pt>
                  <c:pt idx="14">
                    <c:v>$1,050,830.64</c:v>
                  </c:pt>
                  <c:pt idx="15">
                    <c:v>$937,383.42</c:v>
                  </c:pt>
                  <c:pt idx="16">
                    <c:v>$1,265,279.21</c:v>
                  </c:pt>
                  <c:pt idx="17">
                    <c:v>$1,264,248.36</c:v>
                  </c:pt>
                  <c:pt idx="18">
                    <c:v>$1,322,411.97</c:v>
                  </c:pt>
                  <c:pt idx="19">
                    <c:v>$1,321,038.15</c:v>
                  </c:pt>
                  <c:pt idx="20">
                    <c:v>$1,246,004.72</c:v>
                  </c:pt>
                </c:lvl>
                <c:lvl>
                  <c:pt idx="0">
                    <c:v>$294,037.45</c:v>
                  </c:pt>
                  <c:pt idx="1">
                    <c:v>$327,428.85</c:v>
                  </c:pt>
                  <c:pt idx="2">
                    <c:v>$368,866.75</c:v>
                  </c:pt>
                  <c:pt idx="3">
                    <c:v>$366,965.38</c:v>
                  </c:pt>
                  <c:pt idx="4">
                    <c:v>$368,489.73</c:v>
                  </c:pt>
                  <c:pt idx="5">
                    <c:v>$365,233.49</c:v>
                  </c:pt>
                  <c:pt idx="6">
                    <c:v>$347,257.49</c:v>
                  </c:pt>
                  <c:pt idx="7">
                    <c:v>$371,809.04</c:v>
                  </c:pt>
                  <c:pt idx="8">
                    <c:v>$370,094.47</c:v>
                  </c:pt>
                  <c:pt idx="9">
                    <c:v>$359,752.96</c:v>
                  </c:pt>
                  <c:pt idx="10">
                    <c:v>$355,841.51</c:v>
                  </c:pt>
                  <c:pt idx="11">
                    <c:v>$294,716.87</c:v>
                  </c:pt>
                  <c:pt idx="12">
                    <c:v>$325,145.59</c:v>
                  </c:pt>
                  <c:pt idx="13">
                    <c:v>$315,370.33</c:v>
                  </c:pt>
                  <c:pt idx="14">
                    <c:v>$354,115.85</c:v>
                  </c:pt>
                  <c:pt idx="15">
                    <c:v>$257,059.36</c:v>
                  </c:pt>
                  <c:pt idx="16">
                    <c:v>$351,978.29</c:v>
                  </c:pt>
                  <c:pt idx="17">
                    <c:v>$353,604.12</c:v>
                  </c:pt>
                  <c:pt idx="18">
                    <c:v>$338,111.85</c:v>
                  </c:pt>
                  <c:pt idx="19">
                    <c:v>$361,697.60</c:v>
                  </c:pt>
                  <c:pt idx="20">
                    <c:v>$326,629.24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1836.688596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$401.05</c:v>
                  </c:pt>
                  <c:pt idx="1">
                    <c:v>$403.37</c:v>
                  </c:pt>
                  <c:pt idx="2">
                    <c:v>$408.46</c:v>
                  </c:pt>
                  <c:pt idx="3">
                    <c:v>$408.47</c:v>
                  </c:pt>
                  <c:pt idx="4">
                    <c:v>$408.47</c:v>
                  </c:pt>
                  <c:pt idx="5">
                    <c:v>$408.47</c:v>
                  </c:pt>
                  <c:pt idx="6">
                    <c:v>$420.02</c:v>
                  </c:pt>
                  <c:pt idx="7">
                    <c:v>$423.67</c:v>
                  </c:pt>
                  <c:pt idx="8">
                    <c:v>$423.69</c:v>
                  </c:pt>
                  <c:pt idx="9">
                    <c:v>$423.70</c:v>
                  </c:pt>
                  <c:pt idx="10">
                    <c:v>$423.69</c:v>
                  </c:pt>
                  <c:pt idx="11">
                    <c:v>$416.63</c:v>
                  </c:pt>
                  <c:pt idx="12">
                    <c:v>$421.46</c:v>
                  </c:pt>
                  <c:pt idx="13">
                    <c:v>$422.13</c:v>
                  </c:pt>
                  <c:pt idx="14">
                    <c:v>$422.31</c:v>
                  </c:pt>
                  <c:pt idx="15">
                    <c:v>$422.31</c:v>
                  </c:pt>
                  <c:pt idx="16">
                    <c:v>$422.31</c:v>
                  </c:pt>
                  <c:pt idx="17">
                    <c:v>$432.34</c:v>
                  </c:pt>
                  <c:pt idx="18">
                    <c:v>$438.82</c:v>
                  </c:pt>
                  <c:pt idx="19">
                    <c:v>$439.43</c:v>
                  </c:pt>
                  <c:pt idx="20">
                    <c:v>$435.41</c:v>
                  </c:pt>
                </c:lvl>
                <c:lvl>
                  <c:pt idx="0">
                    <c:v>$101.75</c:v>
                  </c:pt>
                  <c:pt idx="1">
                    <c:v>$101.75</c:v>
                  </c:pt>
                  <c:pt idx="2">
                    <c:v>$101.75</c:v>
                  </c:pt>
                  <c:pt idx="3">
                    <c:v>$101.75</c:v>
                  </c:pt>
                  <c:pt idx="4">
                    <c:v>$101.75</c:v>
                  </c:pt>
                  <c:pt idx="5">
                    <c:v>$101.75</c:v>
                  </c:pt>
                  <c:pt idx="6">
                    <c:v>$101.75</c:v>
                  </c:pt>
                  <c:pt idx="7">
                    <c:v>$101.75</c:v>
                  </c:pt>
                  <c:pt idx="8">
                    <c:v>$101.75</c:v>
                  </c:pt>
                  <c:pt idx="9">
                    <c:v>$101.75</c:v>
                  </c:pt>
                  <c:pt idx="10">
                    <c:v>$101.75</c:v>
                  </c:pt>
                  <c:pt idx="11">
                    <c:v>$101.75</c:v>
                  </c:pt>
                  <c:pt idx="12">
                    <c:v>$102.05</c:v>
                  </c:pt>
                  <c:pt idx="13">
                    <c:v>$102.05</c:v>
                  </c:pt>
                  <c:pt idx="14">
                    <c:v>$102.05</c:v>
                  </c:pt>
                  <c:pt idx="15">
                    <c:v>$102.05</c:v>
                  </c:pt>
                  <c:pt idx="16">
                    <c:v>$102.05</c:v>
                  </c:pt>
                  <c:pt idx="17">
                    <c:v>$102.05</c:v>
                  </c:pt>
                  <c:pt idx="18">
                    <c:v>$102.05</c:v>
                  </c:pt>
                  <c:pt idx="19">
                    <c:v>$102.05</c:v>
                  </c:pt>
                  <c:pt idx="20">
                    <c:v>$102.05</c:v>
                  </c:pt>
                </c:lvl>
                <c:lvl>
                  <c:pt idx="0">
                    <c:v>$2.18</c:v>
                  </c:pt>
                  <c:pt idx="1">
                    <c:v>$2.19</c:v>
                  </c:pt>
                  <c:pt idx="2">
                    <c:v>$2.21</c:v>
                  </c:pt>
                  <c:pt idx="3">
                    <c:v>$2.21</c:v>
                  </c:pt>
                  <c:pt idx="4">
                    <c:v>$2.21</c:v>
                  </c:pt>
                  <c:pt idx="5">
                    <c:v>$2.21</c:v>
                  </c:pt>
                  <c:pt idx="6">
                    <c:v>$2.27</c:v>
                  </c:pt>
                  <c:pt idx="7">
                    <c:v>$2.29</c:v>
                  </c:pt>
                  <c:pt idx="8">
                    <c:v>$2.29</c:v>
                  </c:pt>
                  <c:pt idx="9">
                    <c:v>$2.29</c:v>
                  </c:pt>
                  <c:pt idx="10">
                    <c:v>$2.29</c:v>
                  </c:pt>
                  <c:pt idx="11">
                    <c:v>$2.25</c:v>
                  </c:pt>
                  <c:pt idx="12">
                    <c:v>$2.28</c:v>
                  </c:pt>
                  <c:pt idx="13">
                    <c:v>$2.28</c:v>
                  </c:pt>
                  <c:pt idx="14">
                    <c:v>$2.28</c:v>
                  </c:pt>
                  <c:pt idx="15">
                    <c:v>$2.28</c:v>
                  </c:pt>
                  <c:pt idx="16">
                    <c:v>$2.28</c:v>
                  </c:pt>
                  <c:pt idx="17">
                    <c:v>$2.33</c:v>
                  </c:pt>
                  <c:pt idx="18">
                    <c:v>$2.37</c:v>
                  </c:pt>
                  <c:pt idx="19">
                    <c:v>$2.37</c:v>
                  </c:pt>
                  <c:pt idx="20">
                    <c:v>$2.35</c:v>
                  </c:pt>
                </c:lvl>
                <c:lvl>
                  <c:pt idx="0">
                    <c:v>$1.91</c:v>
                  </c:pt>
                  <c:pt idx="1">
                    <c:v>$1.92</c:v>
                  </c:pt>
                  <c:pt idx="2">
                    <c:v>$1.94</c:v>
                  </c:pt>
                  <c:pt idx="3">
                    <c:v>$1.94</c:v>
                  </c:pt>
                  <c:pt idx="4">
                    <c:v>$1.94</c:v>
                  </c:pt>
                  <c:pt idx="5">
                    <c:v>$1.94</c:v>
                  </c:pt>
                  <c:pt idx="6">
                    <c:v>$1.99</c:v>
                  </c:pt>
                  <c:pt idx="7">
                    <c:v>$2.01</c:v>
                  </c:pt>
                  <c:pt idx="8">
                    <c:v>$2.01</c:v>
                  </c:pt>
                  <c:pt idx="9">
                    <c:v>$2.01</c:v>
                  </c:pt>
                  <c:pt idx="10">
                    <c:v>$2.01</c:v>
                  </c:pt>
                  <c:pt idx="11">
                    <c:v>$1.97</c:v>
                  </c:pt>
                  <c:pt idx="12">
                    <c:v>$2.00</c:v>
                  </c:pt>
                  <c:pt idx="13">
                    <c:v>$2.00</c:v>
                  </c:pt>
                  <c:pt idx="14">
                    <c:v>$2.00</c:v>
                  </c:pt>
                  <c:pt idx="15">
                    <c:v>$2.00</c:v>
                  </c:pt>
                  <c:pt idx="16">
                    <c:v>$2.00</c:v>
                  </c:pt>
                  <c:pt idx="17">
                    <c:v>$2.05</c:v>
                  </c:pt>
                  <c:pt idx="18">
                    <c:v>$2.07</c:v>
                  </c:pt>
                  <c:pt idx="19">
                    <c:v>$2.08</c:v>
                  </c:pt>
                  <c:pt idx="20">
                    <c:v>$2.06</c:v>
                  </c:pt>
                </c:lvl>
                <c:lvl>
                  <c:pt idx="0">
                    <c:v>$1.07</c:v>
                  </c:pt>
                  <c:pt idx="1">
                    <c:v>$1.08</c:v>
                  </c:pt>
                  <c:pt idx="2">
                    <c:v>$1.09</c:v>
                  </c:pt>
                  <c:pt idx="3">
                    <c:v>$1.09</c:v>
                  </c:pt>
                  <c:pt idx="4">
                    <c:v>$1.09</c:v>
                  </c:pt>
                  <c:pt idx="5">
                    <c:v>$1.09</c:v>
                  </c:pt>
                  <c:pt idx="6">
                    <c:v>$1.11</c:v>
                  </c:pt>
                  <c:pt idx="7">
                    <c:v>$1.12</c:v>
                  </c:pt>
                  <c:pt idx="8">
                    <c:v>$1.12</c:v>
                  </c:pt>
                  <c:pt idx="9">
                    <c:v>$1.12</c:v>
                  </c:pt>
                  <c:pt idx="10">
                    <c:v>$1.12</c:v>
                  </c:pt>
                  <c:pt idx="11">
                    <c:v>$1.10</c:v>
                  </c:pt>
                  <c:pt idx="12">
                    <c:v>$1.12</c:v>
                  </c:pt>
                  <c:pt idx="13">
                    <c:v>$1.12</c:v>
                  </c:pt>
                  <c:pt idx="14">
                    <c:v>$1.12</c:v>
                  </c:pt>
                  <c:pt idx="15">
                    <c:v>$1.12</c:v>
                  </c:pt>
                  <c:pt idx="16">
                    <c:v>$1.12</c:v>
                  </c:pt>
                  <c:pt idx="17">
                    <c:v>$1.14</c:v>
                  </c:pt>
                  <c:pt idx="18">
                    <c:v>$1.16</c:v>
                  </c:pt>
                  <c:pt idx="19">
                    <c:v>$1.16</c:v>
                  </c:pt>
                  <c:pt idx="20">
                    <c:v>$1.15</c:v>
                  </c:pt>
                </c:lvl>
                <c:lvl>
                  <c:pt idx="0">
                    <c:v>$362.60</c:v>
                  </c:pt>
                  <c:pt idx="1">
                    <c:v>$362.60</c:v>
                  </c:pt>
                  <c:pt idx="2">
                    <c:v>$362.60</c:v>
                  </c:pt>
                  <c:pt idx="3">
                    <c:v>$362.60</c:v>
                  </c:pt>
                  <c:pt idx="4">
                    <c:v>$362.60</c:v>
                  </c:pt>
                  <c:pt idx="5">
                    <c:v>$362.60</c:v>
                  </c:pt>
                  <c:pt idx="6">
                    <c:v>$362.60</c:v>
                  </c:pt>
                  <c:pt idx="7">
                    <c:v>$362.60</c:v>
                  </c:pt>
                  <c:pt idx="8">
                    <c:v>$362.60</c:v>
                  </c:pt>
                  <c:pt idx="9">
                    <c:v>$362.60</c:v>
                  </c:pt>
                  <c:pt idx="10">
                    <c:v>$362.60</c:v>
                  </c:pt>
                  <c:pt idx="11">
                    <c:v>$362.60</c:v>
                  </c:pt>
                  <c:pt idx="12">
                    <c:v>$368.95</c:v>
                  </c:pt>
                  <c:pt idx="13">
                    <c:v>$368.95</c:v>
                  </c:pt>
                  <c:pt idx="14">
                    <c:v>$368.95</c:v>
                  </c:pt>
                  <c:pt idx="15">
                    <c:v>$368.95</c:v>
                  </c:pt>
                  <c:pt idx="16">
                    <c:v>$368.95</c:v>
                  </c:pt>
                  <c:pt idx="17">
                    <c:v>$368.95</c:v>
                  </c:pt>
                  <c:pt idx="18">
                    <c:v>$368.95</c:v>
                  </c:pt>
                  <c:pt idx="19">
                    <c:v>$368.95</c:v>
                  </c:pt>
                  <c:pt idx="20">
                    <c:v>$368.95</c:v>
                  </c:pt>
                </c:lvl>
                <c:lvl>
                  <c:pt idx="0">
                    <c:v>94.56</c:v>
                  </c:pt>
                  <c:pt idx="1">
                    <c:v>94.19</c:v>
                  </c:pt>
                  <c:pt idx="2">
                    <c:v>94.28</c:v>
                  </c:pt>
                  <c:pt idx="3">
                    <c:v>94.93</c:v>
                  </c:pt>
                  <c:pt idx="4">
                    <c:v>93.13</c:v>
                  </c:pt>
                  <c:pt idx="5">
                    <c:v>93.14</c:v>
                  </c:pt>
                  <c:pt idx="6">
                    <c:v>93.39</c:v>
                  </c:pt>
                  <c:pt idx="7">
                    <c:v>93.66</c:v>
                  </c:pt>
                  <c:pt idx="8">
                    <c:v>93.76</c:v>
                  </c:pt>
                  <c:pt idx="9">
                    <c:v>94.1</c:v>
                  </c:pt>
                  <c:pt idx="10">
                    <c:v>94.17</c:v>
                  </c:pt>
                  <c:pt idx="11">
                    <c:v>94.32</c:v>
                  </c:pt>
                  <c:pt idx="12">
                    <c:v>94.57</c:v>
                  </c:pt>
                  <c:pt idx="13">
                    <c:v>94.2</c:v>
                  </c:pt>
                  <c:pt idx="14">
                    <c:v>93.81</c:v>
                  </c:pt>
                  <c:pt idx="15">
                    <c:v>93.14</c:v>
                  </c:pt>
                  <c:pt idx="16">
                    <c:v>93.4</c:v>
                  </c:pt>
                  <c:pt idx="17">
                    <c:v>93.59</c:v>
                  </c:pt>
                  <c:pt idx="18">
                    <c:v>93.67</c:v>
                  </c:pt>
                  <c:pt idx="19">
                    <c:v>94.27</c:v>
                  </c:pt>
                  <c:pt idx="20">
                    <c:v>94.01</c:v>
                  </c:pt>
                </c:lvl>
                <c:lvl>
                  <c:pt idx="0">
                    <c:v>325156</c:v>
                  </c:pt>
                  <c:pt idx="1">
                    <c:v>361949</c:v>
                  </c:pt>
                  <c:pt idx="2">
                    <c:v>404533</c:v>
                  </c:pt>
                  <c:pt idx="3">
                    <c:v>378731</c:v>
                  </c:pt>
                  <c:pt idx="4">
                    <c:v>422677</c:v>
                  </c:pt>
                  <c:pt idx="5">
                    <c:v>418685</c:v>
                  </c:pt>
                  <c:pt idx="6">
                    <c:v>412155</c:v>
                  </c:pt>
                  <c:pt idx="7">
                    <c:v>417877</c:v>
                  </c:pt>
                  <c:pt idx="8">
                    <c:v>383440</c:v>
                  </c:pt>
                  <c:pt idx="9">
                    <c:v>383597</c:v>
                  </c:pt>
                  <c:pt idx="10">
                    <c:v>362838</c:v>
                  </c:pt>
                  <c:pt idx="11">
                    <c:v>282886</c:v>
                  </c:pt>
                  <c:pt idx="12">
                    <c:v>336846</c:v>
                  </c:pt>
                  <c:pt idx="13">
                    <c:v>320568</c:v>
                  </c:pt>
                  <c:pt idx="14">
                    <c:v>364109</c:v>
                  </c:pt>
                  <c:pt idx="15">
                    <c:v>378000</c:v>
                  </c:pt>
                  <c:pt idx="16">
                    <c:v>389248</c:v>
                  </c:pt>
                  <c:pt idx="17">
                    <c:v>375229</c:v>
                  </c:pt>
                  <c:pt idx="18">
                    <c:v>374983</c:v>
                  </c:pt>
                  <c:pt idx="19">
                    <c:v>360110</c:v>
                  </c:pt>
                  <c:pt idx="20">
                    <c:v>345944</c:v>
                  </c:pt>
                </c:lvl>
                <c:lvl>
                  <c:pt idx="0">
                    <c:v>2228.82</c:v>
                  </c:pt>
                  <c:pt idx="1">
                    <c:v>2558.21</c:v>
                  </c:pt>
                  <c:pt idx="2">
                    <c:v>2697.36</c:v>
                  </c:pt>
                  <c:pt idx="3">
                    <c:v>2783.11</c:v>
                  </c:pt>
                  <c:pt idx="4">
                    <c:v>2547.62</c:v>
                  </c:pt>
                  <c:pt idx="5">
                    <c:v>2610.92</c:v>
                  </c:pt>
                  <c:pt idx="6">
                    <c:v>2538.14</c:v>
                  </c:pt>
                  <c:pt idx="7">
                    <c:v>2632.99</c:v>
                  </c:pt>
                  <c:pt idx="8">
                    <c:v>2518.37</c:v>
                  </c:pt>
                  <c:pt idx="9">
                    <c:v>2475.05</c:v>
                  </c:pt>
                  <c:pt idx="10">
                    <c:v>2474.18</c:v>
                  </c:pt>
                  <c:pt idx="11">
                    <c:v>1894.38</c:v>
                  </c:pt>
                  <c:pt idx="12">
                    <c:v>2311.38</c:v>
                  </c:pt>
                  <c:pt idx="13">
                    <c:v>2349.01</c:v>
                  </c:pt>
                  <c:pt idx="14">
                    <c:v>2326.18</c:v>
                  </c:pt>
                  <c:pt idx="15">
                    <c:v>1836.69</c:v>
                  </c:pt>
                  <c:pt idx="16">
                    <c:v>2398.75</c:v>
                  </c:pt>
                  <c:pt idx="17">
                    <c:v>2428.06</c:v>
                  </c:pt>
                  <c:pt idx="18">
                    <c:v>2366.10</c:v>
                  </c:pt>
                  <c:pt idx="19">
                    <c:v>2398.32</c:v>
                  </c:pt>
                  <c:pt idx="20">
                    <c:v>2324.72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2012</c:v>
                  </c:pt>
                  <c:pt idx="3">
                    <c:v>2012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1848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2199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1822</c:v>
                  </c:pt>
                  <c:pt idx="19">
                    <c:v>1802</c:v>
                  </c:pt>
                  <c:pt idx="20">
                    <c:v>1795</c:v>
                  </c:pt>
                </c:lvl>
                <c:lvl>
                  <c:pt idx="0">
                    <c:v>1815</c:v>
                  </c:pt>
                  <c:pt idx="1">
                    <c:v>1947</c:v>
                  </c:pt>
                  <c:pt idx="2">
                    <c:v>1847</c:v>
                  </c:pt>
                  <c:pt idx="3">
                    <c:v>105</c:v>
                  </c:pt>
                  <c:pt idx="4">
                    <c:v>1947</c:v>
                  </c:pt>
                  <c:pt idx="5">
                    <c:v>1971</c:v>
                  </c:pt>
                  <c:pt idx="6">
                    <c:v>1904</c:v>
                  </c:pt>
                  <c:pt idx="7">
                    <c:v>1915</c:v>
                  </c:pt>
                  <c:pt idx="8">
                    <c:v>1858</c:v>
                  </c:pt>
                  <c:pt idx="9">
                    <c:v>1744</c:v>
                  </c:pt>
                  <c:pt idx="10">
                    <c:v>1807</c:v>
                  </c:pt>
                  <c:pt idx="11">
                    <c:v>1769</c:v>
                  </c:pt>
                  <c:pt idx="12">
                    <c:v>1753</c:v>
                  </c:pt>
                  <c:pt idx="13">
                    <c:v>1798</c:v>
                  </c:pt>
                  <c:pt idx="14">
                    <c:v>1811</c:v>
                  </c:pt>
                  <c:pt idx="15">
                    <c:v>1810</c:v>
                  </c:pt>
                  <c:pt idx="16">
                    <c:v>1830</c:v>
                  </c:pt>
                  <c:pt idx="17">
                    <c:v>1859</c:v>
                  </c:pt>
                  <c:pt idx="18">
                    <c:v>1822</c:v>
                  </c:pt>
                  <c:pt idx="19">
                    <c:v>1784</c:v>
                  </c:pt>
                  <c:pt idx="20">
                    <c:v>1795</c:v>
                  </c:pt>
                </c:lvl>
                <c:lvl>
                  <c:pt idx="0">
                    <c:v>1798</c:v>
                  </c:pt>
                  <c:pt idx="1">
                    <c:v>1904</c:v>
                  </c:pt>
                  <c:pt idx="2">
                    <c:v>2012</c:v>
                  </c:pt>
                  <c:pt idx="3">
                    <c:v>1995</c:v>
                  </c:pt>
                  <c:pt idx="4">
                    <c:v>1928</c:v>
                  </c:pt>
                  <c:pt idx="5">
                    <c:v>1968</c:v>
                  </c:pt>
                  <c:pt idx="6">
                    <c:v>1911</c:v>
                  </c:pt>
                  <c:pt idx="7">
                    <c:v>1925</c:v>
                  </c:pt>
                  <c:pt idx="8">
                    <c:v>1867</c:v>
                  </c:pt>
                  <c:pt idx="9">
                    <c:v>1713</c:v>
                  </c:pt>
                  <c:pt idx="10">
                    <c:v>1809</c:v>
                  </c:pt>
                  <c:pt idx="11">
                    <c:v>1860</c:v>
                  </c:pt>
                  <c:pt idx="12">
                    <c:v>1856</c:v>
                  </c:pt>
                  <c:pt idx="13">
                    <c:v>1781</c:v>
                  </c:pt>
                  <c:pt idx="14">
                    <c:v>1805</c:v>
                  </c:pt>
                  <c:pt idx="15">
                    <c:v>1539</c:v>
                  </c:pt>
                  <c:pt idx="16">
                    <c:v>1850</c:v>
                  </c:pt>
                  <c:pt idx="17">
                    <c:v>1861</c:v>
                  </c:pt>
                  <c:pt idx="18">
                    <c:v>1777</c:v>
                  </c:pt>
                  <c:pt idx="19">
                    <c:v>1802</c:v>
                  </c:pt>
                  <c:pt idx="20">
                    <c:v>1760</c:v>
                  </c:pt>
                </c:lvl>
                <c:lvl>
                  <c:pt idx="0">
                    <c:v>1732</c:v>
                  </c:pt>
                  <c:pt idx="1">
                    <c:v>1749</c:v>
                  </c:pt>
                  <c:pt idx="2">
                    <c:v>1860</c:v>
                  </c:pt>
                  <c:pt idx="3">
                    <c:v>1698</c:v>
                  </c:pt>
                  <c:pt idx="4">
                    <c:v>1725</c:v>
                  </c:pt>
                  <c:pt idx="5">
                    <c:v>1720</c:v>
                  </c:pt>
                  <c:pt idx="6">
                    <c:v>1693</c:v>
                  </c:pt>
                  <c:pt idx="7">
                    <c:v>1743</c:v>
                  </c:pt>
                  <c:pt idx="8">
                    <c:v>1625</c:v>
                  </c:pt>
                  <c:pt idx="9">
                    <c:v>1538</c:v>
                  </c:pt>
                  <c:pt idx="10">
                    <c:v>1778</c:v>
                  </c:pt>
                  <c:pt idx="11">
                    <c:v>1705</c:v>
                  </c:pt>
                  <c:pt idx="12">
                    <c:v>1774</c:v>
                  </c:pt>
                  <c:pt idx="13">
                    <c:v>1695</c:v>
                  </c:pt>
                  <c:pt idx="14">
                    <c:v>1692</c:v>
                  </c:pt>
                  <c:pt idx="15">
                    <c:v>1759</c:v>
                  </c:pt>
                  <c:pt idx="16">
                    <c:v>1629</c:v>
                  </c:pt>
                  <c:pt idx="17">
                    <c:v>1593</c:v>
                  </c:pt>
                  <c:pt idx="18">
                    <c:v>1532</c:v>
                  </c:pt>
                  <c:pt idx="19">
                    <c:v>1524</c:v>
                  </c:pt>
                  <c:pt idx="20">
                    <c:v>1498</c:v>
                  </c:pt>
                </c:lvl>
                <c:lvl>
                  <c:pt idx="0">
                    <c:v>945199</c:v>
                  </c:pt>
                  <c:pt idx="1">
                    <c:v>1014895</c:v>
                  </c:pt>
                  <c:pt idx="2">
                    <c:v>1143898</c:v>
                  </c:pt>
                  <c:pt idx="3">
                    <c:v>1142190</c:v>
                  </c:pt>
                  <c:pt idx="4">
                    <c:v>1080393</c:v>
                  </c:pt>
                  <c:pt idx="5">
                    <c:v>1071520</c:v>
                  </c:pt>
                  <c:pt idx="6">
                    <c:v>1076376</c:v>
                  </c:pt>
                  <c:pt idx="7">
                    <c:v>1116598</c:v>
                  </c:pt>
                  <c:pt idx="8">
                    <c:v>1033537</c:v>
                  </c:pt>
                  <c:pt idx="9">
                    <c:v>1049618</c:v>
                  </c:pt>
                  <c:pt idx="10">
                    <c:v>1015403</c:v>
                  </c:pt>
                  <c:pt idx="11">
                    <c:v>803368</c:v>
                  </c:pt>
                  <c:pt idx="12">
                    <c:v>980209</c:v>
                  </c:pt>
                  <c:pt idx="13">
                    <c:v>899765</c:v>
                  </c:pt>
                  <c:pt idx="14">
                    <c:v>986487</c:v>
                  </c:pt>
                  <c:pt idx="15">
                    <c:v>753777</c:v>
                  </c:pt>
                  <c:pt idx="16">
                    <c:v>1017260</c:v>
                  </c:pt>
                  <c:pt idx="17">
                    <c:v>996476</c:v>
                  </c:pt>
                  <c:pt idx="18">
                    <c:v>1003415</c:v>
                  </c:pt>
                  <c:pt idx="19">
                    <c:v>1017081</c:v>
                  </c:pt>
                  <c:pt idx="20">
                    <c:v>954067</c:v>
                  </c:pt>
                </c:lvl>
                <c:lvl>
                  <c:pt idx="0">
                    <c:v>141986</c:v>
                  </c:pt>
                  <c:pt idx="1">
                    <c:v>150228</c:v>
                  </c:pt>
                  <c:pt idx="2">
                    <c:v>160629</c:v>
                  </c:pt>
                  <c:pt idx="3">
                    <c:v>92039</c:v>
                  </c:pt>
                  <c:pt idx="4">
                    <c:v>73815</c:v>
                  </c:pt>
                  <c:pt idx="5">
                    <c:v>72019</c:v>
                  </c:pt>
                  <c:pt idx="6">
                    <c:v>78527</c:v>
                  </c:pt>
                  <c:pt idx="7">
                    <c:v>78101</c:v>
                  </c:pt>
                  <c:pt idx="8">
                    <c:v>69105</c:v>
                  </c:pt>
                  <c:pt idx="9">
                    <c:v>87420</c:v>
                  </c:pt>
                  <c:pt idx="10">
                    <c:v>149661</c:v>
                  </c:pt>
                  <c:pt idx="11">
                    <c:v>115374</c:v>
                  </c:pt>
                  <c:pt idx="12">
                    <c:v>150493</c:v>
                  </c:pt>
                  <c:pt idx="13">
                    <c:v>137541</c:v>
                  </c:pt>
                  <c:pt idx="14">
                    <c:v>145990</c:v>
                  </c:pt>
                  <c:pt idx="15">
                    <c:v>56501</c:v>
                  </c:pt>
                  <c:pt idx="16">
                    <c:v>71617</c:v>
                  </c:pt>
                  <c:pt idx="17">
                    <c:v>69202</c:v>
                  </c:pt>
                  <c:pt idx="18">
                    <c:v>73589</c:v>
                  </c:pt>
                  <c:pt idx="19">
                    <c:v>68684</c:v>
                  </c:pt>
                  <c:pt idx="20">
                    <c:v>67117</c:v>
                  </c:pt>
                </c:lvl>
                <c:lvl>
                  <c:pt idx="0">
                    <c:v>528463</c:v>
                  </c:pt>
                  <c:pt idx="1">
                    <c:v>560167</c:v>
                  </c:pt>
                  <c:pt idx="2">
                    <c:v>643769</c:v>
                  </c:pt>
                  <c:pt idx="3">
                    <c:v>712401</c:v>
                  </c:pt>
                  <c:pt idx="4">
                    <c:v>667425</c:v>
                  </c:pt>
                  <c:pt idx="5">
                    <c:v>663345</c:v>
                  </c:pt>
                  <c:pt idx="6">
                    <c:v>685539</c:v>
                  </c:pt>
                  <c:pt idx="7">
                    <c:v>706495</c:v>
                  </c:pt>
                  <c:pt idx="8">
                    <c:v>633961</c:v>
                  </c:pt>
                  <c:pt idx="9">
                    <c:v>640990</c:v>
                  </c:pt>
                  <c:pt idx="10">
                    <c:v>547998</c:v>
                  </c:pt>
                  <c:pt idx="11">
                    <c:v>421137</c:v>
                  </c:pt>
                  <c:pt idx="12">
                    <c:v>539148</c:v>
                  </c:pt>
                  <c:pt idx="13">
                    <c:v>480769</c:v>
                  </c:pt>
                  <c:pt idx="14">
                    <c:v>524576</c:v>
                  </c:pt>
                  <c:pt idx="15">
                    <c:v>467943</c:v>
                  </c:pt>
                  <c:pt idx="16">
                    <c:v>631629</c:v>
                  </c:pt>
                  <c:pt idx="17">
                    <c:v>617882</c:v>
                  </c:pt>
                  <c:pt idx="18">
                    <c:v>637645</c:v>
                  </c:pt>
                  <c:pt idx="19">
                    <c:v>636185</c:v>
                  </c:pt>
                  <c:pt idx="20">
                    <c:v>603860</c:v>
                  </c:pt>
                </c:lvl>
                <c:lvl>
                  <c:pt idx="0">
                    <c:v>274750</c:v>
                  </c:pt>
                  <c:pt idx="1">
                    <c:v>304500</c:v>
                  </c:pt>
                  <c:pt idx="2">
                    <c:v>339500</c:v>
                  </c:pt>
                  <c:pt idx="3">
                    <c:v>337750</c:v>
                  </c:pt>
                  <c:pt idx="4">
                    <c:v>339153</c:v>
                  </c:pt>
                  <c:pt idx="5">
                    <c:v>336156</c:v>
                  </c:pt>
                  <c:pt idx="6">
                    <c:v>312310</c:v>
                  </c:pt>
                  <c:pt idx="7">
                    <c:v>332002</c:v>
                  </c:pt>
                  <c:pt idx="8">
                    <c:v>330471</c:v>
                  </c:pt>
                  <c:pt idx="9">
                    <c:v>321208</c:v>
                  </c:pt>
                  <c:pt idx="10">
                    <c:v>317744</c:v>
                  </c:pt>
                  <c:pt idx="11">
                    <c:v>266857</c:v>
                  </c:pt>
                  <c:pt idx="12">
                    <c:v>290568</c:v>
                  </c:pt>
                  <c:pt idx="13">
                    <c:v>281455</c:v>
                  </c:pt>
                  <c:pt idx="14">
                    <c:v>315921</c:v>
                  </c:pt>
                  <c:pt idx="15">
                    <c:v>229333</c:v>
                  </c:pt>
                  <c:pt idx="16">
                    <c:v>314014</c:v>
                  </c:pt>
                  <c:pt idx="17">
                    <c:v>309392</c:v>
                  </c:pt>
                  <c:pt idx="18">
                    <c:v>292181</c:v>
                  </c:pt>
                  <c:pt idx="19">
                    <c:v>312212</c:v>
                  </c:pt>
                  <c:pt idx="20">
                    <c:v>283090</c:v>
                  </c:pt>
                </c:lvl>
                <c:lvl>
                  <c:pt idx="0">
                    <c:v>31</c:v>
                  </c:pt>
                  <c:pt idx="1">
                    <c:v>29</c:v>
                  </c:pt>
                  <c:pt idx="2">
                    <c:v>31</c:v>
                  </c:pt>
                  <c:pt idx="3">
                    <c:v>30</c:v>
                  </c:pt>
                  <c:pt idx="4">
                    <c:v>31</c:v>
                  </c:pt>
                  <c:pt idx="5">
                    <c:v>30</c:v>
                  </c:pt>
                  <c:pt idx="6">
                    <c:v>31</c:v>
                  </c:pt>
                  <c:pt idx="7">
                    <c:v>31</c:v>
                  </c:pt>
                  <c:pt idx="8">
                    <c:v>30</c:v>
                  </c:pt>
                  <c:pt idx="9">
                    <c:v>31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31</c:v>
                  </c:pt>
                  <c:pt idx="13">
                    <c:v>28</c:v>
                  </c:pt>
                  <c:pt idx="14">
                    <c:v>31</c:v>
                  </c:pt>
                  <c:pt idx="15">
                    <c:v>30</c:v>
                  </c:pt>
                  <c:pt idx="16">
                    <c:v>31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31</c:v>
                  </c:pt>
                  <c:pt idx="20">
                    <c:v>30</c:v>
                  </c:pt>
                </c:lvl>
                <c:lvl>
                  <c:pt idx="0">
                    <c:v>31/01/2024</c:v>
                  </c:pt>
                  <c:pt idx="1">
                    <c:v>29/02/2024</c:v>
                  </c:pt>
                  <c:pt idx="2">
                    <c:v>31/03/2024</c:v>
                  </c:pt>
                  <c:pt idx="3">
                    <c:v>30/04/2024</c:v>
                  </c:pt>
                  <c:pt idx="4">
                    <c:v>31/05/2024</c:v>
                  </c:pt>
                  <c:pt idx="5">
                    <c:v>30/06/2024</c:v>
                  </c:pt>
                  <c:pt idx="6">
                    <c:v>31/07/2024</c:v>
                  </c:pt>
                  <c:pt idx="7">
                    <c:v>31/08/2024</c:v>
                  </c:pt>
                  <c:pt idx="8">
                    <c:v>30/09/2024</c:v>
                  </c:pt>
                  <c:pt idx="9">
                    <c:v>31/10/2024</c:v>
                  </c:pt>
                  <c:pt idx="10">
                    <c:v>30/11/2024</c:v>
                  </c:pt>
                  <c:pt idx="11">
                    <c:v>31/12/2024</c:v>
                  </c:pt>
                  <c:pt idx="12">
                    <c:v>31/01/2025</c:v>
                  </c:pt>
                  <c:pt idx="13">
                    <c:v>28/02/2025</c:v>
                  </c:pt>
                  <c:pt idx="14">
                    <c:v>31/03/2025</c:v>
                  </c:pt>
                  <c:pt idx="15">
                    <c:v>30/04/2025</c:v>
                  </c:pt>
                  <c:pt idx="16">
                    <c:v>31/05/2025</c:v>
                  </c:pt>
                  <c:pt idx="17">
                    <c:v>30/06/2025</c:v>
                  </c:pt>
                  <c:pt idx="18">
                    <c:v>31/07/2025</c:v>
                  </c:pt>
                  <c:pt idx="19">
                    <c:v>31/08/2025</c:v>
                  </c:pt>
                  <c:pt idx="20">
                    <c:v>30/09/2025</c:v>
                  </c:pt>
                </c:lvl>
              </c:multiLvlStrCache>
            </c:multiLvlStrRef>
          </c:cat>
          <c:val>
            <c:numRef>
              <c:f>Hoja1!$AR$3:$AR$23</c:f>
              <c:numCache>
                <c:formatCode>0.00</c:formatCode>
                <c:ptCount val="21"/>
                <c:pt idx="0">
                  <c:v>420667.06467661692</c:v>
                </c:pt>
                <c:pt idx="1">
                  <c:v>441909.52222222224</c:v>
                </c:pt>
                <c:pt idx="2">
                  <c:v>501616.96192893403</c:v>
                </c:pt>
                <c:pt idx="3">
                  <c:v>518868.17564402812</c:v>
                </c:pt>
                <c:pt idx="4">
                  <c:v>474223.0263157895</c:v>
                </c:pt>
                <c:pt idx="5">
                  <c:v>462798.83720930235</c:v>
                </c:pt>
                <c:pt idx="6">
                  <c:v>487093.5</c:v>
                </c:pt>
                <c:pt idx="7">
                  <c:v>500884.85776805249</c:v>
                </c:pt>
                <c:pt idx="8">
                  <c:v>443329.37062937062</c:v>
                </c:pt>
                <c:pt idx="9">
                  <c:v>462540.66815144767</c:v>
                </c:pt>
                <c:pt idx="10">
                  <c:v>433596.3556701031</c:v>
                </c:pt>
                <c:pt idx="11">
                  <c:v>329213.69543147209</c:v>
                </c:pt>
                <c:pt idx="12">
                  <c:v>429172.53731343284</c:v>
                </c:pt>
                <c:pt idx="13">
                  <c:v>379273.32222222222</c:v>
                </c:pt>
                <c:pt idx="14">
                  <c:v>408743.22842639592</c:v>
                </c:pt>
                <c:pt idx="15">
                  <c:v>340820.31147540984</c:v>
                </c:pt>
                <c:pt idx="16">
                  <c:v>448789.0263157895</c:v>
                </c:pt>
                <c:pt idx="17">
                  <c:v>431080.46511627908</c:v>
                </c:pt>
                <c:pt idx="18">
                  <c:v>453063.55263157893</c:v>
                </c:pt>
                <c:pt idx="19">
                  <c:v>451037.06783369801</c:v>
                </c:pt>
                <c:pt idx="20">
                  <c:v>422279.72027972026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DB-4C5A-9BB5-44A0BCD50CF4}"/>
            </c:ext>
          </c:extLst>
        </c:ser>
        <c:ser>
          <c:idx val="9"/>
          <c:order val="9"/>
          <c:tx>
            <c:v>CONSUMO EN HORAS SOLARES kWh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Hoja1!$AS$3:$AS$23</c:f>
              <c:numCache>
                <c:formatCode>0.00</c:formatCode>
                <c:ptCount val="21"/>
                <c:pt idx="0">
                  <c:v>479704.25475926156</c:v>
                </c:pt>
                <c:pt idx="1">
                  <c:v>512597.02222222224</c:v>
                </c:pt>
                <c:pt idx="2">
                  <c:v>587818.13380393409</c:v>
                </c:pt>
                <c:pt idx="3">
                  <c:v>588698.3444203994</c:v>
                </c:pt>
                <c:pt idx="4">
                  <c:v>541493.04284471506</c:v>
                </c:pt>
                <c:pt idx="5">
                  <c:v>543476.27720930241</c:v>
                </c:pt>
                <c:pt idx="6">
                  <c:v>549039.28512396698</c:v>
                </c:pt>
                <c:pt idx="7">
                  <c:v>566465.49974336114</c:v>
                </c:pt>
                <c:pt idx="8">
                  <c:v>522960.9368944309</c:v>
                </c:pt>
                <c:pt idx="9">
                  <c:v>526515.70549584599</c:v>
                </c:pt>
                <c:pt idx="10">
                  <c:v>504354.4733171619</c:v>
                </c:pt>
                <c:pt idx="11">
                  <c:v>396453.25448659022</c:v>
                </c:pt>
                <c:pt idx="12">
                  <c:v>491608.63648698654</c:v>
                </c:pt>
                <c:pt idx="13">
                  <c:v>444611.09007936507</c:v>
                </c:pt>
                <c:pt idx="14">
                  <c:v>488957.54483264592</c:v>
                </c:pt>
                <c:pt idx="15">
                  <c:v>388235.15113785712</c:v>
                </c:pt>
                <c:pt idx="16">
                  <c:v>511072.79491083079</c:v>
                </c:pt>
                <c:pt idx="17">
                  <c:v>505334.5451162791</c:v>
                </c:pt>
                <c:pt idx="18">
                  <c:v>511016.80882992607</c:v>
                </c:pt>
                <c:pt idx="19">
                  <c:v>512708.5740065375</c:v>
                </c:pt>
                <c:pt idx="20">
                  <c:v>490494.17811104556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C5-42EA-9826-C0CCD77F9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506048"/>
        <c:axId val="1609488768"/>
      </c:lineChart>
      <c:catAx>
        <c:axId val="160950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9488768"/>
        <c:crosses val="autoZero"/>
        <c:auto val="1"/>
        <c:lblAlgn val="ctr"/>
        <c:lblOffset val="100"/>
        <c:noMultiLvlLbl val="1"/>
      </c:catAx>
      <c:valAx>
        <c:axId val="16094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950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GRÁFICO</a:t>
            </a:r>
            <a:r>
              <a:rPr lang="es-MX" baseline="0"/>
              <a:t> CON SISTEMA FOTOVOLTAICO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Hoja1!$G$2</c:f>
              <c:strCache>
                <c:ptCount val="1"/>
                <c:pt idx="0">
                  <c:v>kWh 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Hoja1!$G$3:$G$23</c:f>
              <c:numCache>
                <c:formatCode>General</c:formatCode>
                <c:ptCount val="21"/>
                <c:pt idx="0">
                  <c:v>945199</c:v>
                </c:pt>
                <c:pt idx="1">
                  <c:v>1014895</c:v>
                </c:pt>
                <c:pt idx="2">
                  <c:v>1143898</c:v>
                </c:pt>
                <c:pt idx="3">
                  <c:v>1142190</c:v>
                </c:pt>
                <c:pt idx="4">
                  <c:v>1080393</c:v>
                </c:pt>
                <c:pt idx="5">
                  <c:v>1071520</c:v>
                </c:pt>
                <c:pt idx="6">
                  <c:v>1076376</c:v>
                </c:pt>
                <c:pt idx="7">
                  <c:v>1116598</c:v>
                </c:pt>
                <c:pt idx="8">
                  <c:v>1033537</c:v>
                </c:pt>
                <c:pt idx="9">
                  <c:v>1049618</c:v>
                </c:pt>
                <c:pt idx="10">
                  <c:v>1015403</c:v>
                </c:pt>
                <c:pt idx="11">
                  <c:v>803368</c:v>
                </c:pt>
                <c:pt idx="12">
                  <c:v>980209</c:v>
                </c:pt>
                <c:pt idx="13">
                  <c:v>899765</c:v>
                </c:pt>
                <c:pt idx="14">
                  <c:v>986487</c:v>
                </c:pt>
                <c:pt idx="15">
                  <c:v>753777</c:v>
                </c:pt>
                <c:pt idx="16">
                  <c:v>1017260</c:v>
                </c:pt>
                <c:pt idx="17">
                  <c:v>996476</c:v>
                </c:pt>
                <c:pt idx="18">
                  <c:v>1003415</c:v>
                </c:pt>
                <c:pt idx="19">
                  <c:v>1017081</c:v>
                </c:pt>
                <c:pt idx="20">
                  <c:v>954067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4-420B-9664-F281FCB416BC}"/>
            </c:ext>
          </c:extLst>
        </c:ser>
        <c:ser>
          <c:idx val="1"/>
          <c:order val="1"/>
          <c:tx>
            <c:strRef>
              <c:f>Hoja1!$AS$2</c:f>
              <c:strCache>
                <c:ptCount val="1"/>
                <c:pt idx="0">
                  <c:v>CONSUMO EN HORAS SOLARES (kWh)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Hoja1!$AS$3:$AS$23</c:f>
              <c:numCache>
                <c:formatCode>0.00</c:formatCode>
                <c:ptCount val="21"/>
                <c:pt idx="0">
                  <c:v>479704.25475926156</c:v>
                </c:pt>
                <c:pt idx="1">
                  <c:v>512597.02222222224</c:v>
                </c:pt>
                <c:pt idx="2">
                  <c:v>587818.13380393409</c:v>
                </c:pt>
                <c:pt idx="3">
                  <c:v>588698.3444203994</c:v>
                </c:pt>
                <c:pt idx="4">
                  <c:v>541493.04284471506</c:v>
                </c:pt>
                <c:pt idx="5">
                  <c:v>543476.27720930241</c:v>
                </c:pt>
                <c:pt idx="6">
                  <c:v>549039.28512396698</c:v>
                </c:pt>
                <c:pt idx="7">
                  <c:v>566465.49974336114</c:v>
                </c:pt>
                <c:pt idx="8">
                  <c:v>522960.9368944309</c:v>
                </c:pt>
                <c:pt idx="9">
                  <c:v>526515.70549584599</c:v>
                </c:pt>
                <c:pt idx="10">
                  <c:v>504354.4733171619</c:v>
                </c:pt>
                <c:pt idx="11">
                  <c:v>396453.25448659022</c:v>
                </c:pt>
                <c:pt idx="12">
                  <c:v>491608.63648698654</c:v>
                </c:pt>
                <c:pt idx="13">
                  <c:v>444611.09007936507</c:v>
                </c:pt>
                <c:pt idx="14">
                  <c:v>488957.54483264592</c:v>
                </c:pt>
                <c:pt idx="15">
                  <c:v>388235.15113785712</c:v>
                </c:pt>
                <c:pt idx="16">
                  <c:v>511072.79491083079</c:v>
                </c:pt>
                <c:pt idx="17">
                  <c:v>505334.5451162791</c:v>
                </c:pt>
                <c:pt idx="18">
                  <c:v>511016.80882992607</c:v>
                </c:pt>
                <c:pt idx="19">
                  <c:v>512708.5740065375</c:v>
                </c:pt>
                <c:pt idx="20">
                  <c:v>490494.17811104556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4-420B-9664-F281FCB416BC}"/>
            </c:ext>
          </c:extLst>
        </c:ser>
        <c:ser>
          <c:idx val="2"/>
          <c:order val="2"/>
          <c:tx>
            <c:strRef>
              <c:f>Hoja1!$BG$2</c:f>
              <c:strCache>
                <c:ptCount val="1"/>
                <c:pt idx="0">
                  <c:v>GENERACIÓN CON SFV PROPUESTO (kWh)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Hoja1!$BG$3:$BG$23</c:f>
              <c:numCache>
                <c:formatCode>0</c:formatCode>
                <c:ptCount val="21"/>
                <c:pt idx="0">
                  <c:v>346305.45259200002</c:v>
                </c:pt>
                <c:pt idx="1">
                  <c:v>392454.96907199995</c:v>
                </c:pt>
                <c:pt idx="2">
                  <c:v>526721.60908799991</c:v>
                </c:pt>
                <c:pt idx="3">
                  <c:v>561428.90999999992</c:v>
                </c:pt>
                <c:pt idx="4">
                  <c:v>586274.28705599986</c:v>
                </c:pt>
                <c:pt idx="5">
                  <c:v>466979.08464000007</c:v>
                </c:pt>
                <c:pt idx="6">
                  <c:v>415170.22056000005</c:v>
                </c:pt>
                <c:pt idx="7">
                  <c:v>487975.86501599994</c:v>
                </c:pt>
                <c:pt idx="8">
                  <c:v>385758.43487999996</c:v>
                </c:pt>
                <c:pt idx="9">
                  <c:v>420109.35309600004</c:v>
                </c:pt>
                <c:pt idx="10">
                  <c:v>379197.91727999999</c:v>
                </c:pt>
                <c:pt idx="11">
                  <c:v>345299.74687200005</c:v>
                </c:pt>
                <c:pt idx="12">
                  <c:v>341634.50824799994</c:v>
                </c:pt>
                <c:pt idx="13">
                  <c:v>403966.39449599991</c:v>
                </c:pt>
                <c:pt idx="14">
                  <c:v>549860.29032000003</c:v>
                </c:pt>
                <c:pt idx="15">
                  <c:v>566569.18368000002</c:v>
                </c:pt>
                <c:pt idx="16">
                  <c:v>553681.97205600003</c:v>
                </c:pt>
                <c:pt idx="17">
                  <c:v>443029.59071999998</c:v>
                </c:pt>
                <c:pt idx="18">
                  <c:v>458139.928656</c:v>
                </c:pt>
                <c:pt idx="19">
                  <c:v>487975.86501599994</c:v>
                </c:pt>
                <c:pt idx="20">
                  <c:v>385758.43487999996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4-420B-9664-F281FCB416BC}"/>
            </c:ext>
          </c:extLst>
        </c:ser>
        <c:ser>
          <c:idx val="3"/>
          <c:order val="3"/>
          <c:tx>
            <c:strRef>
              <c:f>Hoja1!$BM$2</c:f>
              <c:strCache>
                <c:ptCount val="1"/>
                <c:pt idx="0">
                  <c:v>NUEVO CONSUMO ESPERADO (kWh)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Hoja1!$B$3:$B$23</c:f>
              <c:numCache>
                <c:formatCode>m/d/yyyy</c:formatCode>
                <c:ptCount val="21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</c:numCache>
            </c:numRef>
          </c:cat>
          <c:val>
            <c:numRef>
              <c:f>Hoja1!$BM$3:$BM$23</c:f>
              <c:numCache>
                <c:formatCode>0</c:formatCode>
                <c:ptCount val="21"/>
                <c:pt idx="0">
                  <c:v>598893.54740799998</c:v>
                </c:pt>
                <c:pt idx="1">
                  <c:v>622440.03092800011</c:v>
                </c:pt>
                <c:pt idx="2">
                  <c:v>617176.39091200009</c:v>
                </c:pt>
                <c:pt idx="3">
                  <c:v>580761.09000000008</c:v>
                </c:pt>
                <c:pt idx="4">
                  <c:v>538900.71294400014</c:v>
                </c:pt>
                <c:pt idx="5">
                  <c:v>604540.91535999998</c:v>
                </c:pt>
                <c:pt idx="6">
                  <c:v>661205.77943999995</c:v>
                </c:pt>
                <c:pt idx="7">
                  <c:v>628622.13498400012</c:v>
                </c:pt>
                <c:pt idx="8">
                  <c:v>647778.56512000004</c:v>
                </c:pt>
                <c:pt idx="9">
                  <c:v>629508.64690399996</c:v>
                </c:pt>
                <c:pt idx="10">
                  <c:v>636205.08272000006</c:v>
                </c:pt>
                <c:pt idx="11">
                  <c:v>458068.25312799995</c:v>
                </c:pt>
                <c:pt idx="12">
                  <c:v>638574.49175200006</c:v>
                </c:pt>
                <c:pt idx="13">
                  <c:v>495798.60550400009</c:v>
                </c:pt>
                <c:pt idx="14">
                  <c:v>497529.70967999997</c:v>
                </c:pt>
                <c:pt idx="15">
                  <c:v>365542.81631999998</c:v>
                </c:pt>
                <c:pt idx="16">
                  <c:v>506188.02794399997</c:v>
                </c:pt>
                <c:pt idx="17">
                  <c:v>553446.40928000002</c:v>
                </c:pt>
                <c:pt idx="18">
                  <c:v>545275.07134400005</c:v>
                </c:pt>
                <c:pt idx="19">
                  <c:v>529105.13498400012</c:v>
                </c:pt>
                <c:pt idx="20">
                  <c:v>568308.56512000004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84-420B-9664-F281FCB41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898783"/>
        <c:axId val="1725885823"/>
      </c:lineChart>
      <c:dateAx>
        <c:axId val="172589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5885823"/>
        <c:crosses val="autoZero"/>
        <c:auto val="1"/>
        <c:lblOffset val="100"/>
        <c:baseTimeUnit val="months"/>
      </c:dateAx>
      <c:valAx>
        <c:axId val="172588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589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313764</xdr:colOff>
      <xdr:row>28</xdr:row>
      <xdr:rowOff>107576</xdr:rowOff>
    </xdr:from>
    <xdr:to>
      <xdr:col>6</xdr:col>
      <xdr:colOff>598715</xdr:colOff>
      <xdr:row>43</xdr:row>
      <xdr:rowOff>8485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439B6C-5226-6FD5-FB65-5EC24E53B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47624</xdr:colOff>
      <xdr:row>28</xdr:row>
      <xdr:rowOff>111578</xdr:rowOff>
    </xdr:from>
    <xdr:to>
      <xdr:col>51</xdr:col>
      <xdr:colOff>816430</xdr:colOff>
      <xdr:row>51</xdr:row>
      <xdr:rowOff>122465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0131579-4BA6-7572-AB77-14E002C69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823633</xdr:colOff>
      <xdr:row>29</xdr:row>
      <xdr:rowOff>90767</xdr:rowOff>
    </xdr:from>
    <xdr:to>
      <xdr:col>64</xdr:col>
      <xdr:colOff>190501</xdr:colOff>
      <xdr:row>51</xdr:row>
      <xdr:rowOff>145677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A58825-E5EA-82B9-AE99-FBF575A9B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9563-1494-4780-BFA5-6DB7266123F2}">
  <dimension ref="A1:CQ49"/>
  <sheetViews>
    <sheetView tabSelected="1" zoomScale="115" zoomScaleNormal="115" workbookViewId="0">
      <selection sqref="A1:C1"/>
    </sheetView>
  </sheetViews>
  <sheetFormatPr baseColWidth="10" defaultRowHeight="15" x14ac:dyDescent="0.25"/>
  <cols>
    <col min="1" max="1" width="14.7109375" style="45" customWidth="1"/>
    <col min="2" max="2" width="13.140625" style="45" customWidth="1"/>
    <col min="3" max="3" width="6.5703125" style="26" customWidth="1"/>
    <col min="4" max="4" width="12" style="26" customWidth="1"/>
    <col min="5" max="5" width="14.5703125" style="26" customWidth="1"/>
    <col min="6" max="6" width="9.28515625" style="26" customWidth="1"/>
    <col min="7" max="7" width="10.42578125" style="26" customWidth="1"/>
    <col min="8" max="8" width="7.42578125" style="26" customWidth="1"/>
    <col min="9" max="9" width="13.7109375" style="26" customWidth="1"/>
    <col min="10" max="10" width="9.85546875" style="26" customWidth="1"/>
    <col min="11" max="11" width="7.28515625" style="26" customWidth="1"/>
    <col min="12" max="12" width="14.85546875" style="26" customWidth="1"/>
    <col min="13" max="13" width="8.5703125" style="26" customWidth="1"/>
    <col min="14" max="14" width="7.7109375" style="26" customWidth="1"/>
    <col min="15" max="16" width="10" style="46" customWidth="1"/>
    <col min="17" max="17" width="13.85546875" style="46" customWidth="1"/>
    <col min="18" max="18" width="10" style="46" customWidth="1"/>
    <col min="19" max="19" width="16.5703125" style="46" customWidth="1"/>
    <col min="20" max="20" width="12.85546875" style="46" customWidth="1"/>
    <col min="21" max="21" width="13.42578125" style="26" customWidth="1"/>
    <col min="22" max="22" width="16.7109375" style="26" customWidth="1"/>
    <col min="23" max="23" width="14.140625" style="26" customWidth="1"/>
    <col min="24" max="24" width="15" style="26" customWidth="1"/>
    <col min="25" max="25" width="14.140625" style="26" customWidth="1"/>
    <col min="26" max="26" width="16.28515625" style="26" customWidth="1"/>
    <col min="27" max="27" width="13.28515625" style="26" customWidth="1"/>
    <col min="28" max="28" width="16.7109375" style="26" customWidth="1"/>
    <col min="29" max="29" width="9.28515625" style="26" customWidth="1"/>
    <col min="30" max="34" width="16.7109375" style="26" customWidth="1"/>
    <col min="35" max="35" width="26.7109375" style="26" customWidth="1"/>
    <col min="36" max="36" width="22.28515625" style="26" customWidth="1"/>
    <col min="37" max="37" width="8.85546875" style="26" customWidth="1"/>
    <col min="38" max="38" width="13.42578125" style="26" customWidth="1"/>
    <col min="39" max="39" width="9.5703125" style="26" customWidth="1"/>
    <col min="40" max="40" width="10.42578125" style="26" customWidth="1"/>
    <col min="41" max="41" width="13.42578125" style="26" customWidth="1"/>
    <col min="42" max="42" width="10.85546875" style="26" customWidth="1"/>
    <col min="43" max="43" width="11.42578125" style="26" customWidth="1"/>
    <col min="44" max="44" width="14" style="26" customWidth="1"/>
    <col min="45" max="45" width="14.140625" style="26" customWidth="1"/>
    <col min="46" max="46" width="19.140625" style="26" customWidth="1"/>
    <col min="47" max="47" width="19.5703125" style="26" customWidth="1"/>
    <col min="48" max="48" width="20.28515625" style="26" customWidth="1"/>
    <col min="49" max="49" width="8.7109375" style="26" customWidth="1"/>
    <col min="50" max="50" width="12.140625" style="26" customWidth="1"/>
    <col min="51" max="51" width="13.85546875" style="26" customWidth="1"/>
    <col min="52" max="52" width="13" style="26" customWidth="1"/>
    <col min="53" max="53" width="12.7109375" style="26" customWidth="1"/>
    <col min="54" max="57" width="17.85546875" style="26" customWidth="1"/>
    <col min="58" max="58" width="15" style="26" customWidth="1"/>
    <col min="59" max="59" width="16.5703125" style="26" customWidth="1"/>
    <col min="60" max="60" width="17.42578125" style="26" customWidth="1"/>
    <col min="61" max="61" width="18.5703125" style="26" customWidth="1"/>
    <col min="62" max="62" width="27.42578125" style="26" customWidth="1"/>
    <col min="63" max="63" width="22.140625" style="26" customWidth="1"/>
    <col min="64" max="64" width="19.7109375" style="26" customWidth="1"/>
    <col min="65" max="65" width="14.28515625" style="26" customWidth="1"/>
    <col min="66" max="66" width="25.7109375" style="26" customWidth="1"/>
    <col min="67" max="67" width="19" style="26" customWidth="1"/>
    <col min="68" max="68" width="18.7109375" style="26" customWidth="1"/>
    <col min="69" max="69" width="11.42578125" style="26" customWidth="1"/>
    <col min="70" max="70" width="14.7109375" style="26" customWidth="1"/>
    <col min="71" max="71" width="14.140625" style="26" customWidth="1"/>
    <col min="72" max="74" width="11.42578125" style="26" customWidth="1"/>
    <col min="75" max="75" width="14.28515625" style="26" customWidth="1"/>
    <col min="76" max="76" width="11.42578125" style="26" customWidth="1"/>
    <col min="77" max="77" width="16.140625" style="1" customWidth="1"/>
    <col min="78" max="78" width="14.140625" style="1" customWidth="1"/>
    <col min="79" max="79" width="15.5703125" style="1" customWidth="1"/>
    <col min="80" max="80" width="13.7109375" style="1" customWidth="1"/>
    <col min="81" max="81" width="15.7109375" style="1" customWidth="1"/>
    <col min="82" max="82" width="15.5703125" style="1" customWidth="1"/>
    <col min="83" max="83" width="13.85546875" style="1" customWidth="1"/>
    <col min="84" max="84" width="15.140625" style="1" customWidth="1"/>
    <col min="85" max="86" width="11.42578125" style="1" customWidth="1"/>
    <col min="87" max="87" width="15.7109375" style="1" customWidth="1"/>
    <col min="88" max="88" width="13.7109375" style="1" customWidth="1"/>
    <col min="89" max="89" width="14.85546875" style="1" customWidth="1"/>
    <col min="90" max="90" width="17.28515625" style="1" customWidth="1"/>
    <col min="91" max="91" width="21.85546875" style="1" customWidth="1"/>
    <col min="92" max="92" width="16.5703125" style="1" customWidth="1"/>
    <col min="93" max="93" width="14.42578125" style="1" customWidth="1"/>
    <col min="94" max="94" width="12.7109375" style="1" customWidth="1"/>
    <col min="95" max="95" width="11.42578125" style="1"/>
  </cols>
  <sheetData>
    <row r="1" spans="1:93" ht="15" customHeight="1" x14ac:dyDescent="0.25">
      <c r="A1" s="60" t="s">
        <v>86</v>
      </c>
      <c r="B1" s="60"/>
      <c r="C1" s="60"/>
      <c r="D1" s="59" t="s">
        <v>87</v>
      </c>
      <c r="E1" s="59"/>
      <c r="F1" s="59"/>
      <c r="G1" s="59"/>
      <c r="H1" s="59" t="s">
        <v>88</v>
      </c>
      <c r="I1" s="59"/>
      <c r="J1" s="59"/>
      <c r="K1" s="59"/>
      <c r="L1" s="59"/>
      <c r="M1" s="59" t="s">
        <v>89</v>
      </c>
      <c r="N1" s="59"/>
      <c r="O1" s="49" t="s">
        <v>101</v>
      </c>
      <c r="P1" s="58" t="s">
        <v>87</v>
      </c>
      <c r="Q1" s="58"/>
      <c r="R1" s="58"/>
      <c r="S1" s="58" t="s">
        <v>111</v>
      </c>
      <c r="T1" s="58"/>
      <c r="U1" s="58"/>
      <c r="V1" s="58"/>
      <c r="W1" s="58" t="s">
        <v>117</v>
      </c>
      <c r="X1" s="58"/>
      <c r="Y1" s="58"/>
      <c r="Z1" s="58"/>
      <c r="AA1" s="58"/>
      <c r="AB1" s="58"/>
      <c r="AC1" s="58" t="s">
        <v>118</v>
      </c>
      <c r="AD1" s="58"/>
      <c r="AE1" s="58" t="s">
        <v>124</v>
      </c>
      <c r="AF1" s="58"/>
      <c r="AG1" s="58"/>
      <c r="AH1" s="58"/>
      <c r="AI1" s="48" t="s">
        <v>125</v>
      </c>
      <c r="AJ1" s="48" t="s">
        <v>90</v>
      </c>
      <c r="AK1" s="59" t="s">
        <v>91</v>
      </c>
      <c r="AL1" s="59"/>
      <c r="AM1" s="59"/>
      <c r="AN1" s="59" t="s">
        <v>52</v>
      </c>
      <c r="AO1" s="59"/>
      <c r="AP1" s="59"/>
      <c r="AQ1" s="59" t="s">
        <v>92</v>
      </c>
      <c r="AR1" s="59"/>
      <c r="AS1" s="59"/>
      <c r="AT1" s="59"/>
      <c r="AU1" s="59"/>
      <c r="AV1" s="59"/>
      <c r="AW1" s="59" t="s">
        <v>93</v>
      </c>
      <c r="AX1" s="59"/>
      <c r="AY1" s="59"/>
      <c r="AZ1" s="59"/>
      <c r="BA1" s="59"/>
      <c r="BB1" s="59"/>
      <c r="BC1" s="59"/>
      <c r="BD1" s="59"/>
      <c r="BE1" s="59"/>
      <c r="BF1" s="59" t="s">
        <v>94</v>
      </c>
      <c r="BG1" s="59"/>
      <c r="BH1" s="59"/>
      <c r="BI1" s="59"/>
      <c r="BJ1" s="59"/>
      <c r="BK1" s="59"/>
      <c r="BL1" s="59"/>
      <c r="BM1" s="59"/>
      <c r="BN1" s="59"/>
      <c r="BO1" s="8"/>
      <c r="BP1" s="8"/>
      <c r="BQ1" s="8"/>
      <c r="BR1" s="8"/>
      <c r="BS1" s="8"/>
      <c r="BT1" s="8"/>
      <c r="BU1" s="8"/>
      <c r="BV1" s="8"/>
      <c r="BW1" s="8"/>
      <c r="BX1" s="8"/>
      <c r="BY1" s="2"/>
      <c r="BZ1" s="2"/>
      <c r="CA1" s="58" t="s">
        <v>117</v>
      </c>
      <c r="CB1" s="58"/>
      <c r="CC1" s="58"/>
      <c r="CD1" s="58"/>
      <c r="CE1" s="58"/>
      <c r="CF1" s="58"/>
      <c r="CG1" s="58" t="s">
        <v>118</v>
      </c>
      <c r="CH1" s="58"/>
      <c r="CI1" s="58" t="s">
        <v>124</v>
      </c>
      <c r="CJ1" s="58"/>
      <c r="CK1" s="58"/>
      <c r="CL1" s="58"/>
      <c r="CM1" s="56" t="s">
        <v>129</v>
      </c>
      <c r="CN1" s="57"/>
      <c r="CO1" s="57"/>
    </row>
    <row r="2" spans="1:93" ht="55.5" customHeight="1" x14ac:dyDescent="0.25">
      <c r="A2" s="40" t="s">
        <v>0</v>
      </c>
      <c r="B2" s="40" t="s">
        <v>0</v>
      </c>
      <c r="C2" s="8" t="s">
        <v>8</v>
      </c>
      <c r="D2" s="8" t="s">
        <v>1</v>
      </c>
      <c r="E2" s="8" t="s">
        <v>2</v>
      </c>
      <c r="F2" s="8" t="s">
        <v>3</v>
      </c>
      <c r="G2" s="8" t="s">
        <v>60</v>
      </c>
      <c r="H2" s="8" t="s">
        <v>4</v>
      </c>
      <c r="I2" s="8" t="s">
        <v>5</v>
      </c>
      <c r="J2" s="8" t="s">
        <v>6</v>
      </c>
      <c r="K2" s="8" t="s">
        <v>61</v>
      </c>
      <c r="L2" s="8" t="s">
        <v>108</v>
      </c>
      <c r="M2" s="8" t="s">
        <v>62</v>
      </c>
      <c r="N2" s="8" t="s">
        <v>63</v>
      </c>
      <c r="O2" s="25" t="s">
        <v>102</v>
      </c>
      <c r="P2" s="25" t="s">
        <v>103</v>
      </c>
      <c r="Q2" s="25" t="s">
        <v>104</v>
      </c>
      <c r="R2" s="25" t="s">
        <v>105</v>
      </c>
      <c r="S2" s="25" t="s">
        <v>106</v>
      </c>
      <c r="T2" s="25" t="s">
        <v>107</v>
      </c>
      <c r="U2" s="8" t="s">
        <v>109</v>
      </c>
      <c r="V2" s="8" t="s">
        <v>110</v>
      </c>
      <c r="W2" s="8" t="s">
        <v>112</v>
      </c>
      <c r="X2" s="8" t="s">
        <v>113</v>
      </c>
      <c r="Y2" s="8" t="s">
        <v>116</v>
      </c>
      <c r="Z2" s="8" t="s">
        <v>114</v>
      </c>
      <c r="AA2" s="8" t="s">
        <v>115</v>
      </c>
      <c r="AB2" s="8" t="s">
        <v>117</v>
      </c>
      <c r="AC2" s="8" t="s">
        <v>63</v>
      </c>
      <c r="AD2" s="8" t="s">
        <v>119</v>
      </c>
      <c r="AE2" s="8" t="s">
        <v>120</v>
      </c>
      <c r="AF2" s="8" t="s">
        <v>121</v>
      </c>
      <c r="AG2" s="8" t="s">
        <v>122</v>
      </c>
      <c r="AH2" s="8" t="s">
        <v>123</v>
      </c>
      <c r="AI2" s="8" t="s">
        <v>64</v>
      </c>
      <c r="AJ2" s="8" t="s">
        <v>38</v>
      </c>
      <c r="AK2" s="8" t="s">
        <v>57</v>
      </c>
      <c r="AL2" s="8" t="s">
        <v>58</v>
      </c>
      <c r="AM2" s="8" t="s">
        <v>59</v>
      </c>
      <c r="AN2" s="8" t="s">
        <v>55</v>
      </c>
      <c r="AO2" s="8" t="s">
        <v>56</v>
      </c>
      <c r="AP2" s="8" t="s">
        <v>85</v>
      </c>
      <c r="AQ2" s="8" t="s">
        <v>65</v>
      </c>
      <c r="AR2" s="8" t="s">
        <v>66</v>
      </c>
      <c r="AS2" s="8" t="s">
        <v>83</v>
      </c>
      <c r="AT2" s="8" t="s">
        <v>97</v>
      </c>
      <c r="AU2" s="8" t="s">
        <v>98</v>
      </c>
      <c r="AV2" s="8" t="s">
        <v>84</v>
      </c>
      <c r="AW2" s="8" t="s">
        <v>9</v>
      </c>
      <c r="AX2" s="8" t="s">
        <v>10</v>
      </c>
      <c r="AY2" s="8" t="s">
        <v>73</v>
      </c>
      <c r="AZ2" s="8" t="s">
        <v>67</v>
      </c>
      <c r="BA2" s="8" t="s">
        <v>68</v>
      </c>
      <c r="BB2" s="8" t="s">
        <v>69</v>
      </c>
      <c r="BC2" s="8" t="s">
        <v>70</v>
      </c>
      <c r="BD2" s="8" t="s">
        <v>71</v>
      </c>
      <c r="BE2" s="8" t="s">
        <v>72</v>
      </c>
      <c r="BF2" s="8" t="s">
        <v>78</v>
      </c>
      <c r="BG2" s="8" t="s">
        <v>81</v>
      </c>
      <c r="BH2" s="8" t="s">
        <v>99</v>
      </c>
      <c r="BI2" s="8" t="s">
        <v>100</v>
      </c>
      <c r="BJ2" s="8" t="s">
        <v>79</v>
      </c>
      <c r="BK2" s="8" t="s">
        <v>95</v>
      </c>
      <c r="BL2" s="8" t="s">
        <v>96</v>
      </c>
      <c r="BM2" s="8" t="s">
        <v>82</v>
      </c>
      <c r="BN2" s="8" t="s">
        <v>80</v>
      </c>
      <c r="BO2" s="8" t="str">
        <f t="shared" ref="BO2:BP4" si="0">BK2</f>
        <v>NUEVO CONSUMO ESPERADO EN BASE (kWh)</v>
      </c>
      <c r="BP2" s="8" t="str">
        <f t="shared" si="0"/>
        <v>NUEVO CONSUMO ESPERADO EN INTERMEDIO (kWh)</v>
      </c>
      <c r="BQ2" s="8" t="str">
        <f>F2</f>
        <v>kWh PUNTA</v>
      </c>
      <c r="BR2" s="8" t="s">
        <v>126</v>
      </c>
      <c r="BS2" s="8" t="s">
        <v>127</v>
      </c>
      <c r="BT2" s="8" t="str">
        <f t="shared" ref="BT2:BZ2" si="1">N2</f>
        <v>FP</v>
      </c>
      <c r="BU2" s="25" t="str">
        <f t="shared" si="1"/>
        <v>CARGO FIJO ($/MES)</v>
      </c>
      <c r="BV2" s="25" t="str">
        <f t="shared" si="1"/>
        <v>kWh BASE ($/kWh)</v>
      </c>
      <c r="BW2" s="25" t="str">
        <f t="shared" si="1"/>
        <v>kWh INTERMEDIA ($/kWh)</v>
      </c>
      <c r="BX2" s="25" t="str">
        <f t="shared" si="1"/>
        <v>kWh PUNTA ($/kWh)</v>
      </c>
      <c r="BY2" s="25" t="str">
        <f t="shared" si="1"/>
        <v>DISTRIBUCIÓN ($/kW)</v>
      </c>
      <c r="BZ2" s="25" t="str">
        <f t="shared" si="1"/>
        <v>CAPACIDAD ($/kW)</v>
      </c>
      <c r="CA2" s="8" t="s">
        <v>112</v>
      </c>
      <c r="CB2" s="8" t="s">
        <v>113</v>
      </c>
      <c r="CC2" s="8" t="s">
        <v>116</v>
      </c>
      <c r="CD2" s="8" t="s">
        <v>114</v>
      </c>
      <c r="CE2" s="8" t="s">
        <v>115</v>
      </c>
      <c r="CF2" s="8" t="s">
        <v>117</v>
      </c>
      <c r="CG2" s="8" t="str">
        <f>AC2</f>
        <v>FP</v>
      </c>
      <c r="CH2" s="8" t="str">
        <f>AD2</f>
        <v>$ FP</v>
      </c>
      <c r="CI2" s="8" t="s">
        <v>120</v>
      </c>
      <c r="CJ2" s="8" t="s">
        <v>121</v>
      </c>
      <c r="CK2" s="8" t="s">
        <v>122</v>
      </c>
      <c r="CL2" s="8" t="s">
        <v>134</v>
      </c>
      <c r="CM2" s="2" t="s">
        <v>128</v>
      </c>
    </row>
    <row r="3" spans="1:93" x14ac:dyDescent="0.25">
      <c r="A3" s="40">
        <v>45291</v>
      </c>
      <c r="B3" s="40">
        <v>45322</v>
      </c>
      <c r="C3" s="8">
        <f t="shared" ref="C3:C23" si="2">B3-A3</f>
        <v>31</v>
      </c>
      <c r="D3" s="8">
        <v>274750</v>
      </c>
      <c r="E3" s="8">
        <v>528463</v>
      </c>
      <c r="F3" s="8">
        <v>141986</v>
      </c>
      <c r="G3" s="8">
        <f t="shared" ref="G3:G23" si="3">SUM(D3:F3)</f>
        <v>945199</v>
      </c>
      <c r="H3" s="8">
        <v>1732</v>
      </c>
      <c r="I3" s="8">
        <v>1798</v>
      </c>
      <c r="J3" s="8">
        <v>1815</v>
      </c>
      <c r="K3" s="8">
        <v>1815</v>
      </c>
      <c r="L3" s="27">
        <f>G3/(24*C3*0.57)</f>
        <v>2228.8223920015093</v>
      </c>
      <c r="M3" s="8">
        <v>325156</v>
      </c>
      <c r="N3" s="8">
        <v>94.56</v>
      </c>
      <c r="O3" s="25">
        <v>362.6</v>
      </c>
      <c r="P3" s="25">
        <v>1.0702</v>
      </c>
      <c r="Q3" s="25">
        <v>1.9080999999999999</v>
      </c>
      <c r="R3" s="25">
        <v>2.1751999999999998</v>
      </c>
      <c r="S3" s="25">
        <v>101.75</v>
      </c>
      <c r="T3" s="25">
        <v>401.05</v>
      </c>
      <c r="U3" s="31">
        <f>MIN(J3,L3)</f>
        <v>1815</v>
      </c>
      <c r="V3" s="8">
        <f>MIN(K3:L3)</f>
        <v>1815</v>
      </c>
      <c r="W3" s="25">
        <f t="shared" ref="W3:Y6" si="4">D3*P3</f>
        <v>294037.45</v>
      </c>
      <c r="X3" s="25">
        <f t="shared" si="4"/>
        <v>1008360.2503</v>
      </c>
      <c r="Y3" s="25">
        <f t="shared" si="4"/>
        <v>308847.9472</v>
      </c>
      <c r="Z3" s="25">
        <f>S3*V3</f>
        <v>184676.25</v>
      </c>
      <c r="AA3" s="25">
        <f>T3*U3</f>
        <v>727905.75</v>
      </c>
      <c r="AB3" s="25">
        <f>SUM(W3:AA3)</f>
        <v>2523827.6475</v>
      </c>
      <c r="AC3" s="43">
        <f>IF(N3&lt;95,ROUND((3/5)*((95/N3)-1),3), ROUND((1/4)*(1-(90/N3)),3))</f>
        <v>3.0000000000000001E-3</v>
      </c>
      <c r="AD3" s="25">
        <f>(AB3+O3)*AC3</f>
        <v>7572.5707425000001</v>
      </c>
      <c r="AE3" s="25">
        <f>SUM(O3,AB3,AD3)</f>
        <v>2531762.8182425001</v>
      </c>
      <c r="AF3" s="25">
        <f>AE3*0.16</f>
        <v>405082.0509188</v>
      </c>
      <c r="AG3" s="25">
        <f>AE3*0.08</f>
        <v>202541.0254594</v>
      </c>
      <c r="AH3" s="25">
        <f>AE3+AF3+AG3</f>
        <v>3139385.8946206998</v>
      </c>
      <c r="AI3" s="25">
        <v>3139386.73</v>
      </c>
      <c r="AJ3" s="8"/>
      <c r="AK3" s="8">
        <f t="shared" ref="AK3:AK8" si="5">AK15</f>
        <v>242</v>
      </c>
      <c r="AL3" s="8">
        <f t="shared" ref="AK3:AO11" si="6">AL15</f>
        <v>402</v>
      </c>
      <c r="AM3" s="8">
        <f t="shared" si="6"/>
        <v>100</v>
      </c>
      <c r="AN3" s="8">
        <f t="shared" si="6"/>
        <v>52</v>
      </c>
      <c r="AO3" s="8">
        <f t="shared" si="6"/>
        <v>320</v>
      </c>
      <c r="AP3" s="8">
        <f>SUM(AN3:AO3)</f>
        <v>372</v>
      </c>
      <c r="AQ3" s="42">
        <f t="shared" ref="AQ3:AQ23" si="7">D3*AN3/AK3</f>
        <v>59037.190082644629</v>
      </c>
      <c r="AR3" s="27">
        <f t="shared" ref="AR3:AR23" si="8">E3*AO3/AL3</f>
        <v>420667.06467661692</v>
      </c>
      <c r="AS3" s="27">
        <f t="shared" ref="AS3:AS23" si="9">SUM(AQ3,AR3)</f>
        <v>479704.25475926156</v>
      </c>
      <c r="AT3" s="43">
        <f>AQ3/AS3</f>
        <v>0.12306997383684308</v>
      </c>
      <c r="AU3" s="43">
        <f>AR3/AS3</f>
        <v>0.87693002616315685</v>
      </c>
      <c r="AV3" s="43">
        <f t="shared" ref="AV3:AV23" si="10">AS3/G3</f>
        <v>0.50751667612773776</v>
      </c>
      <c r="AW3" s="8">
        <v>4.6486000000000001</v>
      </c>
      <c r="AX3" s="8">
        <v>0.85</v>
      </c>
      <c r="AY3" s="8">
        <v>0.62</v>
      </c>
      <c r="AZ3" s="31">
        <f t="shared" ref="AZ3:AZ23" si="11">G3/(C3*AW3*AX3)</f>
        <v>7716.5016975586941</v>
      </c>
      <c r="BA3" s="31">
        <f t="shared" ref="BA3:BA23" si="12">ROUNDUP(AZ3/AY3,0)</f>
        <v>12446</v>
      </c>
      <c r="BB3" s="31">
        <f t="shared" ref="BB3:BB23" si="13">E3/(C3*AW3*AX3)</f>
        <v>4314.3143788736134</v>
      </c>
      <c r="BC3" s="31">
        <f t="shared" ref="BC3:BC23" si="14">ROUNDUP(BB3/AY3,0)</f>
        <v>6959</v>
      </c>
      <c r="BD3" s="31">
        <f t="shared" ref="BD3:BD23" si="15">AS3/(C3*AW3*AX3)</f>
        <v>3916.2532928790342</v>
      </c>
      <c r="BE3" s="31">
        <f t="shared" ref="BE3:BE23" si="16">ROUNDUP(BD3/AY3,0)</f>
        <v>6317</v>
      </c>
      <c r="BF3" s="31">
        <f>4560*AY3</f>
        <v>2827.2</v>
      </c>
      <c r="BG3" s="31">
        <f t="shared" ref="BG3:BG23" si="17">BF3*C3*AW3*AX3</f>
        <v>346305.45259200002</v>
      </c>
      <c r="BH3" s="31">
        <f>BG3*AT3</f>
        <v>42619.80299005354</v>
      </c>
      <c r="BI3" s="31">
        <f>BG3*AU3</f>
        <v>303685.64960194647</v>
      </c>
      <c r="BJ3" s="31">
        <f t="shared" ref="BJ3:BJ23" si="18">ROUNDUP(BG3-AS3,0)</f>
        <v>-133399</v>
      </c>
      <c r="BK3" s="31">
        <f t="shared" ref="BK3:BK23" si="19">D3-BH3</f>
        <v>232130.19700994645</v>
      </c>
      <c r="BL3" s="31">
        <f t="shared" ref="BL3:BL23" si="20">E3-BI3</f>
        <v>224777.35039805353</v>
      </c>
      <c r="BM3" s="31">
        <f t="shared" ref="BM3:BM23" si="21">IF(BJ3&lt;0,G3-BG3,G3-BG3+BJ3)</f>
        <v>598893.54740799998</v>
      </c>
      <c r="BN3" s="43">
        <f t="shared" ref="BN3:BN23" si="22">IF(BJ3&lt;0,BG3/G3,(BG3-BJ3)/G3)</f>
        <v>0.36638364258954992</v>
      </c>
      <c r="BO3" s="31">
        <f t="shared" si="0"/>
        <v>232130.19700994645</v>
      </c>
      <c r="BP3" s="31">
        <f t="shared" si="0"/>
        <v>224777.35039805353</v>
      </c>
      <c r="BQ3" s="8">
        <f>F3</f>
        <v>141986</v>
      </c>
      <c r="BR3" s="31">
        <f>SUM(BO3:BQ3)</f>
        <v>598893.54740799998</v>
      </c>
      <c r="BS3" s="31">
        <f>BR3/(24*C3*0.57)</f>
        <v>1412.2183253348426</v>
      </c>
      <c r="BT3" s="8">
        <f t="shared" ref="BT3:BT23" si="23">N3</f>
        <v>94.56</v>
      </c>
      <c r="BU3" s="25">
        <f t="shared" ref="BU3:BZ3" si="24">O3</f>
        <v>362.6</v>
      </c>
      <c r="BV3" s="25">
        <f t="shared" si="24"/>
        <v>1.0702</v>
      </c>
      <c r="BW3" s="25">
        <f t="shared" si="24"/>
        <v>1.9080999999999999</v>
      </c>
      <c r="BX3" s="25">
        <f t="shared" si="24"/>
        <v>2.1751999999999998</v>
      </c>
      <c r="BY3" s="25">
        <f t="shared" si="24"/>
        <v>101.75</v>
      </c>
      <c r="BZ3" s="25">
        <f t="shared" si="24"/>
        <v>401.05</v>
      </c>
      <c r="CA3" s="25">
        <f>BO3*BV3</f>
        <v>248425.7368400447</v>
      </c>
      <c r="CB3" s="25">
        <f>BP3*BW3</f>
        <v>428897.66229452594</v>
      </c>
      <c r="CC3" s="25">
        <f>BQ3*BX3</f>
        <v>308847.9472</v>
      </c>
      <c r="CD3" s="25">
        <f>BS3*BY3</f>
        <v>143693.21460282023</v>
      </c>
      <c r="CE3" s="25">
        <f>BS3*BZ3</f>
        <v>566370.15937553858</v>
      </c>
      <c r="CF3" s="25">
        <f>SUM(CA3:CC3)</f>
        <v>986171.34633457055</v>
      </c>
      <c r="CG3" s="43">
        <f>AC3</f>
        <v>3.0000000000000001E-3</v>
      </c>
      <c r="CH3" s="8">
        <f t="shared" ref="CH3:CH23" si="25">AD3</f>
        <v>7572.5707425000001</v>
      </c>
      <c r="CI3" s="25">
        <f>SUM(BU3,CF3,CH3)</f>
        <v>994106.51707707054</v>
      </c>
      <c r="CJ3" s="25">
        <f>CI3*0.16</f>
        <v>159057.04273233129</v>
      </c>
      <c r="CK3" s="25">
        <f>CI3*0.08</f>
        <v>79528.521366165645</v>
      </c>
      <c r="CL3" s="25">
        <f>SUM(CI3,CJ3,CK3)</f>
        <v>1232692.0811755676</v>
      </c>
      <c r="CM3" s="47">
        <f>AI3-CL3</f>
        <v>1906694.6488244324</v>
      </c>
    </row>
    <row r="4" spans="1:93" x14ac:dyDescent="0.25">
      <c r="A4" s="40">
        <v>45322</v>
      </c>
      <c r="B4" s="40">
        <v>45351</v>
      </c>
      <c r="C4" s="8">
        <f t="shared" si="2"/>
        <v>29</v>
      </c>
      <c r="D4" s="8">
        <v>304500</v>
      </c>
      <c r="E4" s="8">
        <v>560167</v>
      </c>
      <c r="F4" s="8">
        <v>150228</v>
      </c>
      <c r="G4" s="8">
        <f t="shared" si="3"/>
        <v>1014895</v>
      </c>
      <c r="H4" s="8">
        <v>1749</v>
      </c>
      <c r="I4" s="8">
        <v>1904</v>
      </c>
      <c r="J4" s="8">
        <v>1947</v>
      </c>
      <c r="K4" s="8">
        <v>1947</v>
      </c>
      <c r="L4" s="27">
        <f t="shared" ref="L4:L23" si="26">G4/(24*C4*0.57)</f>
        <v>2558.2148618673123</v>
      </c>
      <c r="M4" s="8">
        <v>361949</v>
      </c>
      <c r="N4" s="8">
        <v>94.19</v>
      </c>
      <c r="O4" s="25">
        <v>362.6</v>
      </c>
      <c r="P4" s="25">
        <v>1.0752999999999999</v>
      </c>
      <c r="Q4" s="25">
        <v>1.9179999999999999</v>
      </c>
      <c r="R4" s="25">
        <v>2.1867000000000001</v>
      </c>
      <c r="S4" s="25">
        <v>101.75</v>
      </c>
      <c r="T4" s="25">
        <v>403.37</v>
      </c>
      <c r="U4" s="31">
        <f t="shared" ref="U4:U23" si="27">MIN(J4,L4)</f>
        <v>1947</v>
      </c>
      <c r="V4" s="8">
        <f t="shared" ref="V4:V23" si="28">MIN(K4:L4)</f>
        <v>1947</v>
      </c>
      <c r="W4" s="25">
        <f t="shared" si="4"/>
        <v>327428.84999999998</v>
      </c>
      <c r="X4" s="25">
        <f t="shared" si="4"/>
        <v>1074400.3059999999</v>
      </c>
      <c r="Y4" s="25">
        <f t="shared" si="4"/>
        <v>328503.56760000001</v>
      </c>
      <c r="Z4" s="25">
        <f>S4*V4</f>
        <v>198107.25</v>
      </c>
      <c r="AA4" s="25">
        <f>T4*U4</f>
        <v>785361.39</v>
      </c>
      <c r="AB4" s="25">
        <f>SUM(W4:AA4)</f>
        <v>2713801.3635999998</v>
      </c>
      <c r="AC4" s="43">
        <f t="shared" ref="AC4:AC23" si="29">IF(N4&lt;95,ROUND((3/5)*((95/N4)-1),3), ROUND((1/4)*(1-(90/N4)),3))</f>
        <v>5.0000000000000001E-3</v>
      </c>
      <c r="AD4" s="25">
        <f>(AB4+O4)*AC4</f>
        <v>13570.819818</v>
      </c>
      <c r="AE4" s="25">
        <f>SUM(O4,AB4,AD4)</f>
        <v>2727734.7834179997</v>
      </c>
      <c r="AF4" s="25">
        <f t="shared" ref="AF4:AF23" si="30">AE4*0.16</f>
        <v>436437.56534687994</v>
      </c>
      <c r="AG4" s="25">
        <f>AE4*0.08</f>
        <v>218218.78267343997</v>
      </c>
      <c r="AH4" s="25">
        <f>AE4+AF4+AG4</f>
        <v>3382391.1314383196</v>
      </c>
      <c r="AI4" s="25">
        <v>3382391.85</v>
      </c>
      <c r="AJ4" s="8"/>
      <c r="AK4" s="8">
        <f t="shared" si="5"/>
        <v>224</v>
      </c>
      <c r="AL4" s="8">
        <f t="shared" si="6"/>
        <v>360</v>
      </c>
      <c r="AM4" s="8">
        <f t="shared" si="6"/>
        <v>88</v>
      </c>
      <c r="AN4" s="8">
        <f t="shared" si="6"/>
        <v>52</v>
      </c>
      <c r="AO4" s="8">
        <f t="shared" si="6"/>
        <v>284</v>
      </c>
      <c r="AP4" s="8">
        <f t="shared" ref="AP4:AP23" si="31">SUM(AN4:AO4)</f>
        <v>336</v>
      </c>
      <c r="AQ4" s="42">
        <f t="shared" si="7"/>
        <v>70687.5</v>
      </c>
      <c r="AR4" s="27">
        <f t="shared" si="8"/>
        <v>441909.52222222224</v>
      </c>
      <c r="AS4" s="27">
        <f t="shared" si="9"/>
        <v>512597.02222222224</v>
      </c>
      <c r="AT4" s="43">
        <f t="shared" ref="AT4:AT23" si="32">AQ4/AS4</f>
        <v>0.13790072305444528</v>
      </c>
      <c r="AU4" s="43">
        <f t="shared" ref="AU4:AU23" si="33">AR4/AS4</f>
        <v>0.86209927694555477</v>
      </c>
      <c r="AV4" s="43">
        <f t="shared" si="10"/>
        <v>0.50507394579953813</v>
      </c>
      <c r="AW4" s="8">
        <v>5.6314000000000002</v>
      </c>
      <c r="AX4" s="8">
        <v>0.85</v>
      </c>
      <c r="AY4" s="8">
        <v>0.62</v>
      </c>
      <c r="AZ4" s="31">
        <f t="shared" si="11"/>
        <v>7311.1856649051488</v>
      </c>
      <c r="BA4" s="31">
        <f t="shared" si="12"/>
        <v>11793</v>
      </c>
      <c r="BB4" s="31">
        <f t="shared" si="13"/>
        <v>4035.3779852624389</v>
      </c>
      <c r="BC4" s="31">
        <f t="shared" si="14"/>
        <v>6509</v>
      </c>
      <c r="BD4" s="31">
        <f t="shared" si="15"/>
        <v>3692.6893922466634</v>
      </c>
      <c r="BE4" s="31">
        <f t="shared" si="16"/>
        <v>5956</v>
      </c>
      <c r="BF4" s="31">
        <f t="shared" ref="BF4:BF23" si="34">4560*AY4</f>
        <v>2827.2</v>
      </c>
      <c r="BG4" s="31">
        <f t="shared" si="17"/>
        <v>392454.96907199995</v>
      </c>
      <c r="BH4" s="31">
        <f t="shared" ref="BH4:BH23" si="35">BG4*AT4</f>
        <v>54119.824001338755</v>
      </c>
      <c r="BI4" s="31">
        <f t="shared" ref="BI4:BI23" si="36">BG4*AU4</f>
        <v>338335.14507066121</v>
      </c>
      <c r="BJ4" s="31">
        <f t="shared" si="18"/>
        <v>-120143</v>
      </c>
      <c r="BK4" s="31">
        <f t="shared" si="19"/>
        <v>250380.17599866126</v>
      </c>
      <c r="BL4" s="31">
        <f t="shared" si="20"/>
        <v>221831.85492933879</v>
      </c>
      <c r="BM4" s="31">
        <f t="shared" si="21"/>
        <v>622440.03092800011</v>
      </c>
      <c r="BN4" s="43">
        <f t="shared" si="22"/>
        <v>0.38669514488888007</v>
      </c>
      <c r="BO4" s="31">
        <f t="shared" si="0"/>
        <v>250380.17599866126</v>
      </c>
      <c r="BP4" s="31">
        <f t="shared" si="0"/>
        <v>221831.85492933879</v>
      </c>
      <c r="BQ4" s="8">
        <f t="shared" ref="BQ4:BQ23" si="37">F4</f>
        <v>150228</v>
      </c>
      <c r="BR4" s="31">
        <f t="shared" ref="BR4:BR23" si="38">SUM(BO4:BQ4)</f>
        <v>622440.03092800011</v>
      </c>
      <c r="BS4" s="31">
        <f t="shared" ref="BS4:BS23" si="39">BR4/(24*C4*0.57)</f>
        <v>1568.9655952006458</v>
      </c>
      <c r="BT4" s="8">
        <f t="shared" si="23"/>
        <v>94.19</v>
      </c>
      <c r="BU4" s="25">
        <f t="shared" ref="BU4:BU23" si="40">O4</f>
        <v>362.6</v>
      </c>
      <c r="BV4" s="25">
        <f t="shared" ref="BV4:BV23" si="41">P4</f>
        <v>1.0752999999999999</v>
      </c>
      <c r="BW4" s="25">
        <f t="shared" ref="BW4:BW23" si="42">Q4</f>
        <v>1.9179999999999999</v>
      </c>
      <c r="BX4" s="25">
        <f t="shared" ref="BX4:BX23" si="43">R4</f>
        <v>2.1867000000000001</v>
      </c>
      <c r="BY4" s="25">
        <f t="shared" ref="BY4:BY23" si="44">S4</f>
        <v>101.75</v>
      </c>
      <c r="BZ4" s="25">
        <f t="shared" ref="BZ4:BZ23" si="45">T4</f>
        <v>403.37</v>
      </c>
      <c r="CA4" s="25">
        <f t="shared" ref="CA4:CA23" si="46">BO4*BV4</f>
        <v>269233.80325136043</v>
      </c>
      <c r="CB4" s="25">
        <f t="shared" ref="CB4:CB22" si="47">BP4*BW4</f>
        <v>425473.49775447178</v>
      </c>
      <c r="CC4" s="25">
        <f t="shared" ref="CC4:CC23" si="48">BQ4*BX4</f>
        <v>328503.56760000001</v>
      </c>
      <c r="CD4" s="25">
        <f t="shared" ref="CD4:CD23" si="49">BS4*BY4</f>
        <v>159642.24931166571</v>
      </c>
      <c r="CE4" s="25">
        <f t="shared" ref="CE4:CE23" si="50">BS4*BZ4</f>
        <v>632873.65213608451</v>
      </c>
      <c r="CF4" s="25">
        <f t="shared" ref="CF4:CF23" si="51">SUM(CA4:CC4)</f>
        <v>1023210.8686058321</v>
      </c>
      <c r="CG4" s="43">
        <f t="shared" ref="CG4:CG23" si="52">AC4</f>
        <v>5.0000000000000001E-3</v>
      </c>
      <c r="CH4" s="8">
        <f t="shared" si="25"/>
        <v>13570.819818</v>
      </c>
      <c r="CI4" s="25">
        <f t="shared" ref="CI4:CI23" si="53">SUM(BU4,CF4,CH4)</f>
        <v>1037144.288423832</v>
      </c>
      <c r="CJ4" s="25">
        <f t="shared" ref="CJ4:CJ23" si="54">CI4*0.16</f>
        <v>165943.08614781313</v>
      </c>
      <c r="CK4" s="25">
        <f t="shared" ref="CK4:CK23" si="55">CI4*0.08</f>
        <v>82971.543073906563</v>
      </c>
      <c r="CL4" s="25">
        <f t="shared" ref="CL4:CL23" si="56">SUM(CI4,CJ4,CK4)</f>
        <v>1286058.9176455517</v>
      </c>
      <c r="CM4" s="47">
        <f t="shared" ref="CM4:CM23" si="57">AI4-CL4</f>
        <v>2096332.9323544484</v>
      </c>
      <c r="CN4" s="41"/>
    </row>
    <row r="5" spans="1:93" x14ac:dyDescent="0.25">
      <c r="A5" s="40">
        <v>45351</v>
      </c>
      <c r="B5" s="40">
        <v>45382</v>
      </c>
      <c r="C5" s="8">
        <f t="shared" si="2"/>
        <v>31</v>
      </c>
      <c r="D5" s="8">
        <v>339500</v>
      </c>
      <c r="E5" s="8">
        <v>643769</v>
      </c>
      <c r="F5" s="8">
        <v>160629</v>
      </c>
      <c r="G5" s="8">
        <f t="shared" si="3"/>
        <v>1143898</v>
      </c>
      <c r="H5" s="8">
        <v>1860</v>
      </c>
      <c r="I5" s="8">
        <v>2012</v>
      </c>
      <c r="J5" s="8">
        <v>1847</v>
      </c>
      <c r="K5" s="8">
        <v>2012</v>
      </c>
      <c r="L5" s="27">
        <f t="shared" si="26"/>
        <v>2697.363704961328</v>
      </c>
      <c r="M5" s="8">
        <v>404533</v>
      </c>
      <c r="N5" s="8">
        <v>94.28</v>
      </c>
      <c r="O5" s="25">
        <v>362.6</v>
      </c>
      <c r="P5" s="25">
        <v>1.0865</v>
      </c>
      <c r="Q5" s="25">
        <v>1.9398</v>
      </c>
      <c r="R5" s="25">
        <v>2.2119</v>
      </c>
      <c r="S5" s="25">
        <v>101.75</v>
      </c>
      <c r="T5" s="25">
        <v>408.46</v>
      </c>
      <c r="U5" s="31">
        <f t="shared" si="27"/>
        <v>1847</v>
      </c>
      <c r="V5" s="8">
        <f t="shared" si="28"/>
        <v>2012</v>
      </c>
      <c r="W5" s="25">
        <f t="shared" si="4"/>
        <v>368866.75</v>
      </c>
      <c r="X5" s="25">
        <f t="shared" si="4"/>
        <v>1248783.1062</v>
      </c>
      <c r="Y5" s="25">
        <f t="shared" si="4"/>
        <v>355295.28509999998</v>
      </c>
      <c r="Z5" s="25">
        <f>S5*V5</f>
        <v>204721</v>
      </c>
      <c r="AA5" s="25">
        <f>T5*U5</f>
        <v>754425.62</v>
      </c>
      <c r="AB5" s="25">
        <f>SUM(W5:AA5)</f>
        <v>2932091.7613000004</v>
      </c>
      <c r="AC5" s="43">
        <f t="shared" si="29"/>
        <v>5.0000000000000001E-3</v>
      </c>
      <c r="AD5" s="25">
        <f>(AB5+O5)*AC5</f>
        <v>14662.271806500003</v>
      </c>
      <c r="AE5" s="25">
        <f>SUM(O5,AB5,AD5)</f>
        <v>2947116.6331065004</v>
      </c>
      <c r="AF5" s="25">
        <f t="shared" si="30"/>
        <v>471538.66129704006</v>
      </c>
      <c r="AG5" s="25">
        <f>AE5*0.08</f>
        <v>235769.33064852003</v>
      </c>
      <c r="AH5" s="25">
        <f>AE5+AF5+AG5</f>
        <v>3654424.6250520605</v>
      </c>
      <c r="AI5" s="25">
        <v>3654425.48</v>
      </c>
      <c r="AJ5" s="8"/>
      <c r="AK5" s="8">
        <f t="shared" si="5"/>
        <v>256</v>
      </c>
      <c r="AL5" s="8">
        <f t="shared" si="6"/>
        <v>394</v>
      </c>
      <c r="AM5" s="8">
        <f t="shared" si="6"/>
        <v>94</v>
      </c>
      <c r="AN5" s="8">
        <f t="shared" si="6"/>
        <v>65</v>
      </c>
      <c r="AO5" s="8">
        <f t="shared" si="6"/>
        <v>307</v>
      </c>
      <c r="AP5" s="8">
        <f t="shared" si="31"/>
        <v>372</v>
      </c>
      <c r="AQ5" s="42">
        <f t="shared" si="7"/>
        <v>86201.171875</v>
      </c>
      <c r="AR5" s="27">
        <f t="shared" si="8"/>
        <v>501616.96192893403</v>
      </c>
      <c r="AS5" s="27">
        <f t="shared" si="9"/>
        <v>587818.13380393409</v>
      </c>
      <c r="AT5" s="43">
        <f t="shared" si="32"/>
        <v>0.14664598949537047</v>
      </c>
      <c r="AU5" s="43">
        <f t="shared" si="33"/>
        <v>0.85335401050462945</v>
      </c>
      <c r="AV5" s="43">
        <f t="shared" si="10"/>
        <v>0.51387285737358934</v>
      </c>
      <c r="AW5" s="8">
        <v>7.0704000000000002</v>
      </c>
      <c r="AX5" s="8">
        <v>0.85</v>
      </c>
      <c r="AY5" s="8">
        <v>0.62</v>
      </c>
      <c r="AZ5" s="31">
        <f t="shared" si="11"/>
        <v>6139.9197788744741</v>
      </c>
      <c r="BA5" s="31">
        <f t="shared" si="12"/>
        <v>9904</v>
      </c>
      <c r="BB5" s="31">
        <f t="shared" si="13"/>
        <v>3455.4567069146387</v>
      </c>
      <c r="BC5" s="31">
        <f t="shared" si="14"/>
        <v>5574</v>
      </c>
      <c r="BD5" s="31">
        <f t="shared" si="15"/>
        <v>3155.1381208148428</v>
      </c>
      <c r="BE5" s="31">
        <f t="shared" si="16"/>
        <v>5089</v>
      </c>
      <c r="BF5" s="31">
        <f t="shared" si="34"/>
        <v>2827.2</v>
      </c>
      <c r="BG5" s="31">
        <f t="shared" si="17"/>
        <v>526721.60908799991</v>
      </c>
      <c r="BH5" s="31">
        <f t="shared" si="35"/>
        <v>77241.611553303461</v>
      </c>
      <c r="BI5" s="31">
        <f t="shared" si="36"/>
        <v>449479.99753469642</v>
      </c>
      <c r="BJ5" s="31">
        <f t="shared" si="18"/>
        <v>-61097</v>
      </c>
      <c r="BK5" s="31">
        <f t="shared" si="19"/>
        <v>262258.38844669657</v>
      </c>
      <c r="BL5" s="31">
        <f t="shared" si="20"/>
        <v>194289.00246530358</v>
      </c>
      <c r="BM5" s="31">
        <f t="shared" si="21"/>
        <v>617176.39091200009</v>
      </c>
      <c r="BN5" s="43">
        <f t="shared" si="22"/>
        <v>0.46046204214711445</v>
      </c>
      <c r="BO5" s="31">
        <f t="shared" ref="BO5:BO23" si="58">BK5</f>
        <v>262258.38844669657</v>
      </c>
      <c r="BP5" s="31">
        <f t="shared" ref="BP5:BP23" si="59">BL5</f>
        <v>194289.00246530358</v>
      </c>
      <c r="BQ5" s="8">
        <f t="shared" si="37"/>
        <v>160629</v>
      </c>
      <c r="BR5" s="31">
        <f t="shared" si="38"/>
        <v>617176.39091200009</v>
      </c>
      <c r="BS5" s="31">
        <f t="shared" si="39"/>
        <v>1455.3301049613283</v>
      </c>
      <c r="BT5" s="8">
        <f t="shared" si="23"/>
        <v>94.28</v>
      </c>
      <c r="BU5" s="25">
        <f t="shared" si="40"/>
        <v>362.6</v>
      </c>
      <c r="BV5" s="25">
        <f t="shared" si="41"/>
        <v>1.0865</v>
      </c>
      <c r="BW5" s="25">
        <f t="shared" si="42"/>
        <v>1.9398</v>
      </c>
      <c r="BX5" s="25">
        <f t="shared" si="43"/>
        <v>2.2119</v>
      </c>
      <c r="BY5" s="25">
        <f t="shared" si="44"/>
        <v>101.75</v>
      </c>
      <c r="BZ5" s="25">
        <f t="shared" si="45"/>
        <v>408.46</v>
      </c>
      <c r="CA5" s="25">
        <f t="shared" si="46"/>
        <v>284943.73904733581</v>
      </c>
      <c r="CB5" s="25">
        <f t="shared" si="47"/>
        <v>376881.80698219588</v>
      </c>
      <c r="CC5" s="25">
        <f t="shared" si="48"/>
        <v>355295.28509999998</v>
      </c>
      <c r="CD5" s="25">
        <f t="shared" si="49"/>
        <v>148079.83817981515</v>
      </c>
      <c r="CE5" s="25">
        <f t="shared" si="50"/>
        <v>594444.13467250415</v>
      </c>
      <c r="CF5" s="25">
        <f t="shared" si="51"/>
        <v>1017120.8311295316</v>
      </c>
      <c r="CG5" s="43">
        <f t="shared" si="52"/>
        <v>5.0000000000000001E-3</v>
      </c>
      <c r="CH5" s="8">
        <f t="shared" si="25"/>
        <v>14662.271806500003</v>
      </c>
      <c r="CI5" s="25">
        <f t="shared" si="53"/>
        <v>1032145.7029360316</v>
      </c>
      <c r="CJ5" s="25">
        <f t="shared" si="54"/>
        <v>165143.31246976505</v>
      </c>
      <c r="CK5" s="25">
        <f t="shared" si="55"/>
        <v>82571.656234882525</v>
      </c>
      <c r="CL5" s="25">
        <f t="shared" si="56"/>
        <v>1279860.6716406792</v>
      </c>
      <c r="CM5" s="47">
        <f t="shared" si="57"/>
        <v>2374564.8083593207</v>
      </c>
      <c r="CN5" s="41"/>
    </row>
    <row r="6" spans="1:93" x14ac:dyDescent="0.25">
      <c r="A6" s="40">
        <v>45382</v>
      </c>
      <c r="B6" s="40">
        <v>45412</v>
      </c>
      <c r="C6" s="8">
        <f t="shared" si="2"/>
        <v>30</v>
      </c>
      <c r="D6" s="8">
        <v>337750</v>
      </c>
      <c r="E6" s="8">
        <v>712401</v>
      </c>
      <c r="F6" s="8">
        <v>92039</v>
      </c>
      <c r="G6" s="8">
        <f t="shared" si="3"/>
        <v>1142190</v>
      </c>
      <c r="H6" s="8">
        <v>1698</v>
      </c>
      <c r="I6" s="8">
        <v>1995</v>
      </c>
      <c r="J6" s="8">
        <v>105</v>
      </c>
      <c r="K6" s="8">
        <v>2012</v>
      </c>
      <c r="L6" s="27">
        <f t="shared" si="26"/>
        <v>2783.1140350877195</v>
      </c>
      <c r="M6" s="8">
        <v>378731</v>
      </c>
      <c r="N6" s="8">
        <v>94.93</v>
      </c>
      <c r="O6" s="25">
        <v>362.6</v>
      </c>
      <c r="P6" s="25">
        <v>1.0865</v>
      </c>
      <c r="Q6" s="25">
        <v>1.9399</v>
      </c>
      <c r="R6" s="25">
        <v>2.2120000000000002</v>
      </c>
      <c r="S6" s="25">
        <v>101.75</v>
      </c>
      <c r="T6" s="25">
        <v>408.47</v>
      </c>
      <c r="U6" s="31">
        <f t="shared" si="27"/>
        <v>105</v>
      </c>
      <c r="V6" s="8">
        <f t="shared" si="28"/>
        <v>2012</v>
      </c>
      <c r="W6" s="25">
        <f t="shared" si="4"/>
        <v>366965.375</v>
      </c>
      <c r="X6" s="25">
        <f t="shared" si="4"/>
        <v>1381986.6998999999</v>
      </c>
      <c r="Y6" s="25">
        <f t="shared" si="4"/>
        <v>203590.26800000001</v>
      </c>
      <c r="Z6" s="25">
        <f>S6*V6</f>
        <v>204721</v>
      </c>
      <c r="AA6" s="25">
        <f>T6*U6</f>
        <v>42889.350000000006</v>
      </c>
      <c r="AB6" s="25">
        <f>SUM(W6:AA6)</f>
        <v>2200152.6928999997</v>
      </c>
      <c r="AC6" s="43">
        <f t="shared" si="29"/>
        <v>0</v>
      </c>
      <c r="AD6" s="25">
        <f>(AB6+O6)*AC6</f>
        <v>0</v>
      </c>
      <c r="AE6" s="25">
        <f>SUM(O6,AB6,AD6)</f>
        <v>2200515.2928999998</v>
      </c>
      <c r="AF6" s="25">
        <f t="shared" si="30"/>
        <v>352082.446864</v>
      </c>
      <c r="AG6" s="25">
        <f>AE6*0.08</f>
        <v>176041.223432</v>
      </c>
      <c r="AH6" s="25">
        <f>AE6+AF6+AG6</f>
        <v>2728638.9631959996</v>
      </c>
      <c r="AI6" s="25">
        <v>2667773.08</v>
      </c>
      <c r="AJ6" s="8"/>
      <c r="AK6" s="8">
        <f t="shared" si="5"/>
        <v>237</v>
      </c>
      <c r="AL6" s="8">
        <f t="shared" si="6"/>
        <v>427</v>
      </c>
      <c r="AM6" s="8">
        <f t="shared" si="6"/>
        <v>56</v>
      </c>
      <c r="AN6" s="8">
        <f t="shared" si="6"/>
        <v>49</v>
      </c>
      <c r="AO6" s="8">
        <f t="shared" si="6"/>
        <v>311</v>
      </c>
      <c r="AP6" s="8">
        <f t="shared" si="31"/>
        <v>360</v>
      </c>
      <c r="AQ6" s="42">
        <f t="shared" si="7"/>
        <v>69830.168776371313</v>
      </c>
      <c r="AR6" s="27">
        <f t="shared" si="8"/>
        <v>518868.17564402812</v>
      </c>
      <c r="AS6" s="27">
        <f t="shared" si="9"/>
        <v>588698.3444203994</v>
      </c>
      <c r="AT6" s="43">
        <f t="shared" si="32"/>
        <v>0.11861791261723749</v>
      </c>
      <c r="AU6" s="43">
        <f t="shared" si="33"/>
        <v>0.88138208738276258</v>
      </c>
      <c r="AV6" s="43">
        <f t="shared" si="10"/>
        <v>0.51541192307794625</v>
      </c>
      <c r="AW6" s="8">
        <v>7.7874999999999996</v>
      </c>
      <c r="AX6" s="8">
        <v>0.85</v>
      </c>
      <c r="AY6" s="8">
        <v>0.62</v>
      </c>
      <c r="AZ6" s="31">
        <f t="shared" si="11"/>
        <v>5751.7514871116991</v>
      </c>
      <c r="BA6" s="31">
        <f t="shared" si="12"/>
        <v>9278</v>
      </c>
      <c r="BB6" s="31">
        <f t="shared" si="13"/>
        <v>3587.4534982532341</v>
      </c>
      <c r="BC6" s="31">
        <f t="shared" si="14"/>
        <v>5787</v>
      </c>
      <c r="BD6" s="31">
        <f t="shared" si="15"/>
        <v>2964.5212950386781</v>
      </c>
      <c r="BE6" s="31">
        <f t="shared" si="16"/>
        <v>4782</v>
      </c>
      <c r="BF6" s="31">
        <f t="shared" si="34"/>
        <v>2827.2</v>
      </c>
      <c r="BG6" s="31">
        <f t="shared" si="17"/>
        <v>561428.90999999992</v>
      </c>
      <c r="BH6" s="31">
        <f t="shared" si="35"/>
        <v>66595.525387170885</v>
      </c>
      <c r="BI6" s="31">
        <f t="shared" si="36"/>
        <v>494833.38461282908</v>
      </c>
      <c r="BJ6" s="31">
        <f t="shared" si="18"/>
        <v>-27270</v>
      </c>
      <c r="BK6" s="31">
        <f t="shared" si="19"/>
        <v>271154.4746128291</v>
      </c>
      <c r="BL6" s="31">
        <f t="shared" si="20"/>
        <v>217567.61538717092</v>
      </c>
      <c r="BM6" s="31">
        <f t="shared" si="21"/>
        <v>580761.09000000008</v>
      </c>
      <c r="BN6" s="43">
        <f t="shared" si="22"/>
        <v>0.4915372311086596</v>
      </c>
      <c r="BO6" s="31">
        <f t="shared" si="58"/>
        <v>271154.4746128291</v>
      </c>
      <c r="BP6" s="31">
        <f t="shared" si="59"/>
        <v>217567.61538717092</v>
      </c>
      <c r="BQ6" s="8">
        <f t="shared" si="37"/>
        <v>92039</v>
      </c>
      <c r="BR6" s="31">
        <f t="shared" si="38"/>
        <v>580761.09000000008</v>
      </c>
      <c r="BS6" s="31">
        <f t="shared" si="39"/>
        <v>1415.1098684210529</v>
      </c>
      <c r="BT6" s="8">
        <f t="shared" si="23"/>
        <v>94.93</v>
      </c>
      <c r="BU6" s="25">
        <f t="shared" si="40"/>
        <v>362.6</v>
      </c>
      <c r="BV6" s="25">
        <f t="shared" si="41"/>
        <v>1.0865</v>
      </c>
      <c r="BW6" s="25">
        <f t="shared" si="42"/>
        <v>1.9399</v>
      </c>
      <c r="BX6" s="25">
        <f t="shared" si="43"/>
        <v>2.2120000000000002</v>
      </c>
      <c r="BY6" s="25">
        <f t="shared" si="44"/>
        <v>101.75</v>
      </c>
      <c r="BZ6" s="25">
        <f t="shared" si="45"/>
        <v>408.47</v>
      </c>
      <c r="CA6" s="25">
        <f t="shared" si="46"/>
        <v>294609.33666683885</v>
      </c>
      <c r="CB6" s="25">
        <f t="shared" si="47"/>
        <v>422059.41708957287</v>
      </c>
      <c r="CC6" s="25">
        <f t="shared" si="48"/>
        <v>203590.26800000001</v>
      </c>
      <c r="CD6" s="25">
        <f t="shared" si="49"/>
        <v>143987.42911184212</v>
      </c>
      <c r="CE6" s="25">
        <f t="shared" si="50"/>
        <v>578029.92795394745</v>
      </c>
      <c r="CF6" s="25">
        <f t="shared" si="51"/>
        <v>920259.02175641176</v>
      </c>
      <c r="CG6" s="43">
        <f t="shared" si="52"/>
        <v>0</v>
      </c>
      <c r="CH6" s="8">
        <f t="shared" si="25"/>
        <v>0</v>
      </c>
      <c r="CI6" s="25">
        <f t="shared" si="53"/>
        <v>920621.62175641174</v>
      </c>
      <c r="CJ6" s="25">
        <f t="shared" si="54"/>
        <v>147299.45948102587</v>
      </c>
      <c r="CK6" s="25">
        <f t="shared" si="55"/>
        <v>73649.729740512936</v>
      </c>
      <c r="CL6" s="25">
        <f t="shared" si="56"/>
        <v>1141570.8109779507</v>
      </c>
      <c r="CM6" s="47">
        <f t="shared" si="57"/>
        <v>1526202.2690220494</v>
      </c>
      <c r="CN6" s="41"/>
    </row>
    <row r="7" spans="1:93" ht="15" customHeight="1" x14ac:dyDescent="0.25">
      <c r="A7" s="40">
        <v>45412</v>
      </c>
      <c r="B7" s="40">
        <v>45443</v>
      </c>
      <c r="C7" s="8">
        <f t="shared" si="2"/>
        <v>31</v>
      </c>
      <c r="D7" s="8">
        <v>339153</v>
      </c>
      <c r="E7" s="8">
        <v>667425</v>
      </c>
      <c r="F7" s="8">
        <v>73815</v>
      </c>
      <c r="G7" s="8">
        <f t="shared" si="3"/>
        <v>1080393</v>
      </c>
      <c r="H7" s="8">
        <v>1725</v>
      </c>
      <c r="I7" s="8">
        <v>1928</v>
      </c>
      <c r="J7" s="8">
        <v>1947</v>
      </c>
      <c r="K7" s="8">
        <v>1947</v>
      </c>
      <c r="L7" s="27">
        <f t="shared" si="26"/>
        <v>2547.6160158460671</v>
      </c>
      <c r="M7" s="8">
        <v>422677</v>
      </c>
      <c r="N7" s="8">
        <v>93.13</v>
      </c>
      <c r="O7" s="25">
        <v>362.6</v>
      </c>
      <c r="P7" s="25">
        <v>1.0865</v>
      </c>
      <c r="Q7" s="25">
        <v>1.9399</v>
      </c>
      <c r="R7" s="25">
        <v>2.2120000000000002</v>
      </c>
      <c r="S7" s="25">
        <v>101.75</v>
      </c>
      <c r="T7" s="25">
        <v>408.47</v>
      </c>
      <c r="U7" s="31">
        <f t="shared" si="27"/>
        <v>1947</v>
      </c>
      <c r="V7" s="8">
        <f t="shared" si="28"/>
        <v>1947</v>
      </c>
      <c r="W7" s="25">
        <f t="shared" ref="W7:W23" si="60">D7*P7</f>
        <v>368489.73450000002</v>
      </c>
      <c r="X7" s="25">
        <f t="shared" ref="X7:X23" si="61">E7*Q7</f>
        <v>1294737.7575000001</v>
      </c>
      <c r="Y7" s="25">
        <f t="shared" ref="Y7:Y23" si="62">F7*R7</f>
        <v>163278.78000000003</v>
      </c>
      <c r="Z7" s="25">
        <f t="shared" ref="Z7:Z23" si="63">S7*V7</f>
        <v>198107.25</v>
      </c>
      <c r="AA7" s="25">
        <f t="shared" ref="AA7:AA23" si="64">T7*U7</f>
        <v>795291.09000000008</v>
      </c>
      <c r="AB7" s="25">
        <f t="shared" ref="AB7:AB23" si="65">SUM(W7:AA7)</f>
        <v>2819904.6120000002</v>
      </c>
      <c r="AC7" s="43">
        <f t="shared" si="29"/>
        <v>1.2E-2</v>
      </c>
      <c r="AD7" s="25">
        <f t="shared" ref="AD7:AD23" si="66">(AB7+O7)*AC7</f>
        <v>33843.206544000001</v>
      </c>
      <c r="AE7" s="25">
        <f t="shared" ref="AE7:AE23" si="67">SUM(O7,AB7,AD7)</f>
        <v>2854110.4185440005</v>
      </c>
      <c r="AF7" s="25">
        <f t="shared" si="30"/>
        <v>456657.6669670401</v>
      </c>
      <c r="AG7" s="25">
        <f t="shared" ref="AG7:AG23" si="68">AE7*0.08</f>
        <v>228328.83348352005</v>
      </c>
      <c r="AH7" s="25">
        <f t="shared" ref="AH7:AH23" si="69">AE7+AF7+AG7</f>
        <v>3539096.9189945604</v>
      </c>
      <c r="AI7" s="25">
        <v>3539097.01</v>
      </c>
      <c r="AJ7" s="8"/>
      <c r="AK7" s="8">
        <f t="shared" si="5"/>
        <v>242</v>
      </c>
      <c r="AL7" s="8">
        <f t="shared" si="6"/>
        <v>456</v>
      </c>
      <c r="AM7" s="8">
        <f t="shared" si="6"/>
        <v>46</v>
      </c>
      <c r="AN7" s="8">
        <f t="shared" si="6"/>
        <v>48</v>
      </c>
      <c r="AO7" s="8">
        <f t="shared" si="6"/>
        <v>324</v>
      </c>
      <c r="AP7" s="8">
        <f t="shared" si="31"/>
        <v>372</v>
      </c>
      <c r="AQ7" s="42">
        <f t="shared" si="7"/>
        <v>67270.016528925626</v>
      </c>
      <c r="AR7" s="27">
        <f t="shared" si="8"/>
        <v>474223.0263157895</v>
      </c>
      <c r="AS7" s="27">
        <f t="shared" si="9"/>
        <v>541493.04284471506</v>
      </c>
      <c r="AT7" s="43">
        <f t="shared" si="32"/>
        <v>0.12423062016738924</v>
      </c>
      <c r="AU7" s="43">
        <f t="shared" si="33"/>
        <v>0.87576937983261083</v>
      </c>
      <c r="AV7" s="43">
        <f t="shared" si="10"/>
        <v>0.50120006594333266</v>
      </c>
      <c r="AW7" s="8">
        <v>7.8697999999999997</v>
      </c>
      <c r="AX7" s="8">
        <v>0.85</v>
      </c>
      <c r="AY7" s="8">
        <v>0.62</v>
      </c>
      <c r="AZ7" s="31">
        <f t="shared" si="11"/>
        <v>5209.9966807997507</v>
      </c>
      <c r="BA7" s="31">
        <f t="shared" si="12"/>
        <v>8404</v>
      </c>
      <c r="BB7" s="31">
        <f t="shared" si="13"/>
        <v>3218.5343987630181</v>
      </c>
      <c r="BC7" s="31">
        <f t="shared" si="14"/>
        <v>5192</v>
      </c>
      <c r="BD7" s="31">
        <f t="shared" si="15"/>
        <v>2611.2506799813796</v>
      </c>
      <c r="BE7" s="31">
        <f t="shared" si="16"/>
        <v>4212</v>
      </c>
      <c r="BF7" s="31">
        <f t="shared" si="34"/>
        <v>2827.2</v>
      </c>
      <c r="BG7" s="31">
        <f t="shared" si="17"/>
        <v>586274.28705599986</v>
      </c>
      <c r="BH7" s="31">
        <f t="shared" si="35"/>
        <v>72833.218269160847</v>
      </c>
      <c r="BI7" s="31">
        <f t="shared" si="36"/>
        <v>513441.06878683902</v>
      </c>
      <c r="BJ7" s="31">
        <f t="shared" si="18"/>
        <v>44782</v>
      </c>
      <c r="BK7" s="31">
        <f t="shared" si="19"/>
        <v>266319.78173083917</v>
      </c>
      <c r="BL7" s="31">
        <f t="shared" si="20"/>
        <v>153983.93121316098</v>
      </c>
      <c r="BM7" s="31">
        <f t="shared" si="21"/>
        <v>538900.71294400014</v>
      </c>
      <c r="BN7" s="43">
        <f t="shared" si="22"/>
        <v>0.50119936639352514</v>
      </c>
      <c r="BO7" s="31">
        <f t="shared" si="58"/>
        <v>266319.78173083917</v>
      </c>
      <c r="BP7" s="31">
        <f t="shared" si="59"/>
        <v>153983.93121316098</v>
      </c>
      <c r="BQ7" s="8">
        <f t="shared" si="37"/>
        <v>73815</v>
      </c>
      <c r="BR7" s="31">
        <f t="shared" si="38"/>
        <v>494118.71294400014</v>
      </c>
      <c r="BS7" s="31">
        <f t="shared" si="39"/>
        <v>1165.1544825127339</v>
      </c>
      <c r="BT7" s="8">
        <f t="shared" si="23"/>
        <v>93.13</v>
      </c>
      <c r="BU7" s="25">
        <f t="shared" si="40"/>
        <v>362.6</v>
      </c>
      <c r="BV7" s="25">
        <f t="shared" si="41"/>
        <v>1.0865</v>
      </c>
      <c r="BW7" s="25">
        <f t="shared" si="42"/>
        <v>1.9399</v>
      </c>
      <c r="BX7" s="25">
        <f t="shared" si="43"/>
        <v>2.2120000000000002</v>
      </c>
      <c r="BY7" s="25">
        <f t="shared" si="44"/>
        <v>101.75</v>
      </c>
      <c r="BZ7" s="25">
        <f t="shared" si="45"/>
        <v>408.47</v>
      </c>
      <c r="CA7" s="25">
        <f t="shared" si="46"/>
        <v>289356.44285055675</v>
      </c>
      <c r="CB7" s="25">
        <f t="shared" si="47"/>
        <v>298713.42816041096</v>
      </c>
      <c r="CC7" s="25">
        <f t="shared" si="48"/>
        <v>163278.78000000003</v>
      </c>
      <c r="CD7" s="25">
        <f t="shared" si="49"/>
        <v>118554.46859567068</v>
      </c>
      <c r="CE7" s="25">
        <f t="shared" si="50"/>
        <v>475930.65147197648</v>
      </c>
      <c r="CF7" s="25">
        <f t="shared" si="51"/>
        <v>751348.65101096779</v>
      </c>
      <c r="CG7" s="43">
        <f t="shared" si="52"/>
        <v>1.2E-2</v>
      </c>
      <c r="CH7" s="8">
        <f t="shared" si="25"/>
        <v>33843.206544000001</v>
      </c>
      <c r="CI7" s="25">
        <f t="shared" si="53"/>
        <v>785554.45755496772</v>
      </c>
      <c r="CJ7" s="25">
        <f t="shared" si="54"/>
        <v>125688.71320879484</v>
      </c>
      <c r="CK7" s="25">
        <f t="shared" si="55"/>
        <v>62844.356604397421</v>
      </c>
      <c r="CL7" s="25">
        <f t="shared" si="56"/>
        <v>974087.52736815996</v>
      </c>
      <c r="CM7" s="47">
        <f t="shared" si="57"/>
        <v>2565009.4826318398</v>
      </c>
      <c r="CN7" s="41"/>
    </row>
    <row r="8" spans="1:93" x14ac:dyDescent="0.25">
      <c r="A8" s="40">
        <v>45443</v>
      </c>
      <c r="B8" s="40">
        <v>45473</v>
      </c>
      <c r="C8" s="8">
        <f t="shared" si="2"/>
        <v>30</v>
      </c>
      <c r="D8" s="8">
        <v>336156</v>
      </c>
      <c r="E8" s="8">
        <v>663345</v>
      </c>
      <c r="F8" s="8">
        <v>72019</v>
      </c>
      <c r="G8" s="8">
        <f t="shared" si="3"/>
        <v>1071520</v>
      </c>
      <c r="H8" s="8">
        <v>1720</v>
      </c>
      <c r="I8" s="8">
        <v>1968</v>
      </c>
      <c r="J8" s="8">
        <v>1971</v>
      </c>
      <c r="K8" s="8">
        <v>1971</v>
      </c>
      <c r="L8" s="27">
        <f t="shared" si="26"/>
        <v>2610.9161793372323</v>
      </c>
      <c r="M8" s="8">
        <v>418685</v>
      </c>
      <c r="N8" s="8">
        <v>93.14</v>
      </c>
      <c r="O8" s="25">
        <v>362.6</v>
      </c>
      <c r="P8" s="25">
        <v>1.0865</v>
      </c>
      <c r="Q8" s="25">
        <v>1.9399</v>
      </c>
      <c r="R8" s="25">
        <v>2.2120000000000002</v>
      </c>
      <c r="S8" s="25">
        <v>101.75</v>
      </c>
      <c r="T8" s="25">
        <v>408.47</v>
      </c>
      <c r="U8" s="31">
        <f t="shared" si="27"/>
        <v>1971</v>
      </c>
      <c r="V8" s="8">
        <f t="shared" si="28"/>
        <v>1971</v>
      </c>
      <c r="W8" s="25">
        <f t="shared" si="60"/>
        <v>365233.49400000001</v>
      </c>
      <c r="X8" s="25">
        <f t="shared" si="61"/>
        <v>1286822.9654999999</v>
      </c>
      <c r="Y8" s="25">
        <f t="shared" si="62"/>
        <v>159306.02800000002</v>
      </c>
      <c r="Z8" s="25">
        <f t="shared" si="63"/>
        <v>200549.25</v>
      </c>
      <c r="AA8" s="25">
        <f t="shared" si="64"/>
        <v>805094.37000000011</v>
      </c>
      <c r="AB8" s="25">
        <f t="shared" si="65"/>
        <v>2817006.1074999999</v>
      </c>
      <c r="AC8" s="43">
        <f t="shared" si="29"/>
        <v>1.2E-2</v>
      </c>
      <c r="AD8" s="25">
        <f t="shared" si="66"/>
        <v>33808.424489999998</v>
      </c>
      <c r="AE8" s="25">
        <f t="shared" si="67"/>
        <v>2851177.1319900001</v>
      </c>
      <c r="AF8" s="25">
        <f t="shared" si="30"/>
        <v>456188.34111840004</v>
      </c>
      <c r="AG8" s="25">
        <f t="shared" si="68"/>
        <v>228094.17055920002</v>
      </c>
      <c r="AH8" s="25">
        <f t="shared" si="69"/>
        <v>3535459.6436676001</v>
      </c>
      <c r="AI8" s="25">
        <v>3535459.65</v>
      </c>
      <c r="AJ8" s="8"/>
      <c r="AK8" s="8">
        <f t="shared" si="5"/>
        <v>250</v>
      </c>
      <c r="AL8" s="8">
        <f t="shared" si="6"/>
        <v>430</v>
      </c>
      <c r="AM8" s="8">
        <f t="shared" si="6"/>
        <v>40</v>
      </c>
      <c r="AN8" s="8">
        <f t="shared" si="6"/>
        <v>60</v>
      </c>
      <c r="AO8" s="8">
        <f t="shared" si="6"/>
        <v>300</v>
      </c>
      <c r="AP8" s="8">
        <f t="shared" si="31"/>
        <v>360</v>
      </c>
      <c r="AQ8" s="42">
        <f t="shared" si="7"/>
        <v>80677.440000000002</v>
      </c>
      <c r="AR8" s="27">
        <f t="shared" si="8"/>
        <v>462798.83720930235</v>
      </c>
      <c r="AS8" s="27">
        <f t="shared" si="9"/>
        <v>543476.27720930241</v>
      </c>
      <c r="AT8" s="43">
        <f t="shared" si="32"/>
        <v>0.14844703142199836</v>
      </c>
      <c r="AU8" s="43">
        <f t="shared" si="33"/>
        <v>0.85155296857800156</v>
      </c>
      <c r="AV8" s="43">
        <f t="shared" si="10"/>
        <v>0.50720124422250856</v>
      </c>
      <c r="AW8" s="8">
        <v>6.4774000000000003</v>
      </c>
      <c r="AX8" s="8">
        <v>0.85</v>
      </c>
      <c r="AY8" s="8">
        <v>0.62</v>
      </c>
      <c r="AZ8" s="31">
        <f t="shared" si="11"/>
        <v>6487.2313207247889</v>
      </c>
      <c r="BA8" s="31">
        <f t="shared" si="12"/>
        <v>10464</v>
      </c>
      <c r="BB8" s="31">
        <f t="shared" si="13"/>
        <v>4016.0449272493138</v>
      </c>
      <c r="BC8" s="31">
        <f t="shared" si="14"/>
        <v>6478</v>
      </c>
      <c r="BD8" s="31">
        <f t="shared" si="15"/>
        <v>3290.3317974308407</v>
      </c>
      <c r="BE8" s="31">
        <f t="shared" si="16"/>
        <v>5307</v>
      </c>
      <c r="BF8" s="31">
        <f t="shared" si="34"/>
        <v>2827.2</v>
      </c>
      <c r="BG8" s="31">
        <f t="shared" si="17"/>
        <v>466979.08464000007</v>
      </c>
      <c r="BH8" s="31">
        <f t="shared" si="35"/>
        <v>69321.658850970125</v>
      </c>
      <c r="BI8" s="31">
        <f t="shared" si="36"/>
        <v>397657.42578902992</v>
      </c>
      <c r="BJ8" s="31">
        <f t="shared" si="18"/>
        <v>-76498</v>
      </c>
      <c r="BK8" s="31">
        <f t="shared" si="19"/>
        <v>266834.3411490299</v>
      </c>
      <c r="BL8" s="31">
        <f t="shared" si="20"/>
        <v>265687.57421097008</v>
      </c>
      <c r="BM8" s="31">
        <f t="shared" si="21"/>
        <v>604540.91535999998</v>
      </c>
      <c r="BN8" s="43">
        <f t="shared" si="22"/>
        <v>0.43580995654770799</v>
      </c>
      <c r="BO8" s="31">
        <f t="shared" si="58"/>
        <v>266834.3411490299</v>
      </c>
      <c r="BP8" s="31">
        <f t="shared" si="59"/>
        <v>265687.57421097008</v>
      </c>
      <c r="BQ8" s="8">
        <f t="shared" si="37"/>
        <v>72019</v>
      </c>
      <c r="BR8" s="31">
        <f t="shared" si="38"/>
        <v>604540.91535999998</v>
      </c>
      <c r="BS8" s="31">
        <f t="shared" si="39"/>
        <v>1473.0529126705653</v>
      </c>
      <c r="BT8" s="8">
        <f t="shared" si="23"/>
        <v>93.14</v>
      </c>
      <c r="BU8" s="25">
        <f t="shared" si="40"/>
        <v>362.6</v>
      </c>
      <c r="BV8" s="25">
        <f t="shared" si="41"/>
        <v>1.0865</v>
      </c>
      <c r="BW8" s="25">
        <f t="shared" si="42"/>
        <v>1.9399</v>
      </c>
      <c r="BX8" s="25">
        <f t="shared" si="43"/>
        <v>2.2120000000000002</v>
      </c>
      <c r="BY8" s="25">
        <f t="shared" si="44"/>
        <v>101.75</v>
      </c>
      <c r="BZ8" s="25">
        <f t="shared" si="45"/>
        <v>408.47</v>
      </c>
      <c r="CA8" s="25">
        <f t="shared" si="46"/>
        <v>289915.51165842102</v>
      </c>
      <c r="CB8" s="25">
        <f t="shared" si="47"/>
        <v>515407.32521186082</v>
      </c>
      <c r="CC8" s="25">
        <f t="shared" si="48"/>
        <v>159306.02800000002</v>
      </c>
      <c r="CD8" s="25">
        <f t="shared" si="49"/>
        <v>149883.13386423001</v>
      </c>
      <c r="CE8" s="25">
        <f t="shared" si="50"/>
        <v>601697.92323854589</v>
      </c>
      <c r="CF8" s="25">
        <f t="shared" si="51"/>
        <v>964628.86487028189</v>
      </c>
      <c r="CG8" s="43">
        <f t="shared" si="52"/>
        <v>1.2E-2</v>
      </c>
      <c r="CH8" s="8">
        <f t="shared" si="25"/>
        <v>33808.424489999998</v>
      </c>
      <c r="CI8" s="25">
        <f t="shared" si="53"/>
        <v>998799.88936028187</v>
      </c>
      <c r="CJ8" s="25">
        <f t="shared" si="54"/>
        <v>159807.9822976451</v>
      </c>
      <c r="CK8" s="25">
        <f t="shared" si="55"/>
        <v>79903.991148822548</v>
      </c>
      <c r="CL8" s="25">
        <f t="shared" si="56"/>
        <v>1238511.8628067495</v>
      </c>
      <c r="CM8" s="47">
        <f t="shared" si="57"/>
        <v>2296947.7871932504</v>
      </c>
      <c r="CN8" s="41"/>
    </row>
    <row r="9" spans="1:93" ht="14.25" customHeight="1" x14ac:dyDescent="0.25">
      <c r="A9" s="40">
        <v>45473</v>
      </c>
      <c r="B9" s="40">
        <v>45504</v>
      </c>
      <c r="C9" s="8">
        <f t="shared" si="2"/>
        <v>31</v>
      </c>
      <c r="D9" s="8">
        <v>312310</v>
      </c>
      <c r="E9" s="8">
        <v>685539</v>
      </c>
      <c r="F9" s="8">
        <v>78527</v>
      </c>
      <c r="G9" s="8">
        <f t="shared" si="3"/>
        <v>1076376</v>
      </c>
      <c r="H9" s="8">
        <v>1693</v>
      </c>
      <c r="I9" s="8">
        <v>1911</v>
      </c>
      <c r="J9" s="8">
        <v>1904</v>
      </c>
      <c r="K9" s="8">
        <v>1911</v>
      </c>
      <c r="L9" s="27">
        <f t="shared" si="26"/>
        <v>2538.1437464629316</v>
      </c>
      <c r="M9" s="8">
        <v>412155</v>
      </c>
      <c r="N9" s="8">
        <v>93.39</v>
      </c>
      <c r="O9" s="25">
        <v>362.6</v>
      </c>
      <c r="P9" s="25">
        <v>1.1119000000000001</v>
      </c>
      <c r="Q9" s="25">
        <v>1.9894000000000001</v>
      </c>
      <c r="R9" s="25">
        <v>2.2692000000000001</v>
      </c>
      <c r="S9" s="25">
        <v>101.75</v>
      </c>
      <c r="T9" s="25">
        <v>420.02</v>
      </c>
      <c r="U9" s="31">
        <f t="shared" si="27"/>
        <v>1904</v>
      </c>
      <c r="V9" s="8">
        <f t="shared" si="28"/>
        <v>1911</v>
      </c>
      <c r="W9" s="25">
        <f t="shared" si="60"/>
        <v>347257.48900000006</v>
      </c>
      <c r="X9" s="25">
        <f t="shared" si="61"/>
        <v>1363811.2866</v>
      </c>
      <c r="Y9" s="25">
        <f t="shared" si="62"/>
        <v>178193.46840000001</v>
      </c>
      <c r="Z9" s="25">
        <f t="shared" si="63"/>
        <v>194444.25</v>
      </c>
      <c r="AA9" s="25">
        <f t="shared" si="64"/>
        <v>799718.08</v>
      </c>
      <c r="AB9" s="25">
        <f t="shared" si="65"/>
        <v>2883424.574</v>
      </c>
      <c r="AC9" s="43">
        <f t="shared" si="29"/>
        <v>0.01</v>
      </c>
      <c r="AD9" s="25">
        <f t="shared" si="66"/>
        <v>28837.871740000002</v>
      </c>
      <c r="AE9" s="25">
        <f t="shared" si="67"/>
        <v>2912625.04574</v>
      </c>
      <c r="AF9" s="25">
        <f t="shared" si="30"/>
        <v>466020.00731840002</v>
      </c>
      <c r="AG9" s="25">
        <f t="shared" si="68"/>
        <v>233010.00365920001</v>
      </c>
      <c r="AH9" s="25">
        <f t="shared" si="69"/>
        <v>3611655.0567175997</v>
      </c>
      <c r="AI9" s="25">
        <v>3611655.71</v>
      </c>
      <c r="AJ9" s="8"/>
      <c r="AK9" s="8">
        <f t="shared" si="6"/>
        <v>242</v>
      </c>
      <c r="AL9" s="8">
        <f t="shared" si="6"/>
        <v>456</v>
      </c>
      <c r="AM9" s="8">
        <f t="shared" si="6"/>
        <v>46</v>
      </c>
      <c r="AN9" s="8">
        <f t="shared" si="6"/>
        <v>48</v>
      </c>
      <c r="AO9" s="8">
        <f t="shared" si="6"/>
        <v>324</v>
      </c>
      <c r="AP9" s="8">
        <f t="shared" si="31"/>
        <v>372</v>
      </c>
      <c r="AQ9" s="42">
        <f t="shared" si="7"/>
        <v>61945.78512396694</v>
      </c>
      <c r="AR9" s="27">
        <f t="shared" si="8"/>
        <v>487093.5</v>
      </c>
      <c r="AS9" s="27">
        <f t="shared" si="9"/>
        <v>549039.28512396698</v>
      </c>
      <c r="AT9" s="43">
        <f t="shared" si="32"/>
        <v>0.11282577914252578</v>
      </c>
      <c r="AU9" s="43">
        <f t="shared" si="33"/>
        <v>0.88717422085747411</v>
      </c>
      <c r="AV9" s="43">
        <f t="shared" si="10"/>
        <v>0.51008131463723361</v>
      </c>
      <c r="AW9" s="8">
        <v>5.5730000000000004</v>
      </c>
      <c r="AX9" s="8">
        <v>0.85</v>
      </c>
      <c r="AY9" s="8">
        <v>0.62</v>
      </c>
      <c r="AZ9" s="31">
        <f t="shared" si="11"/>
        <v>7329.8374413639094</v>
      </c>
      <c r="BA9" s="31">
        <f t="shared" si="12"/>
        <v>11823</v>
      </c>
      <c r="BB9" s="31">
        <f t="shared" si="13"/>
        <v>4668.3402730227845</v>
      </c>
      <c r="BC9" s="31">
        <f t="shared" si="14"/>
        <v>7530</v>
      </c>
      <c r="BD9" s="31">
        <f t="shared" si="15"/>
        <v>3738.8131181681197</v>
      </c>
      <c r="BE9" s="31">
        <f t="shared" si="16"/>
        <v>6031</v>
      </c>
      <c r="BF9" s="31">
        <f t="shared" si="34"/>
        <v>2827.2</v>
      </c>
      <c r="BG9" s="31">
        <f t="shared" si="17"/>
        <v>415170.22056000005</v>
      </c>
      <c r="BH9" s="31">
        <f t="shared" si="35"/>
        <v>46841.903611456284</v>
      </c>
      <c r="BI9" s="31">
        <f t="shared" si="36"/>
        <v>368328.31694854371</v>
      </c>
      <c r="BJ9" s="31">
        <f t="shared" si="18"/>
        <v>-133870</v>
      </c>
      <c r="BK9" s="31">
        <f t="shared" si="19"/>
        <v>265468.09638854372</v>
      </c>
      <c r="BL9" s="31">
        <f t="shared" si="20"/>
        <v>317210.68305145629</v>
      </c>
      <c r="BM9" s="31">
        <f t="shared" si="21"/>
        <v>661205.77943999995</v>
      </c>
      <c r="BN9" s="43">
        <f t="shared" si="22"/>
        <v>0.38571114606791684</v>
      </c>
      <c r="BO9" s="31">
        <f t="shared" si="58"/>
        <v>265468.09638854372</v>
      </c>
      <c r="BP9" s="31">
        <f t="shared" si="59"/>
        <v>317210.68305145629</v>
      </c>
      <c r="BQ9" s="8">
        <f t="shared" si="37"/>
        <v>78527</v>
      </c>
      <c r="BR9" s="31">
        <f t="shared" si="38"/>
        <v>661205.77943999995</v>
      </c>
      <c r="BS9" s="31">
        <f t="shared" si="39"/>
        <v>1559.1534131295982</v>
      </c>
      <c r="BT9" s="8">
        <f t="shared" si="23"/>
        <v>93.39</v>
      </c>
      <c r="BU9" s="25">
        <f t="shared" si="40"/>
        <v>362.6</v>
      </c>
      <c r="BV9" s="25">
        <f t="shared" si="41"/>
        <v>1.1119000000000001</v>
      </c>
      <c r="BW9" s="25">
        <f t="shared" si="42"/>
        <v>1.9894000000000001</v>
      </c>
      <c r="BX9" s="25">
        <f t="shared" si="43"/>
        <v>2.2692000000000001</v>
      </c>
      <c r="BY9" s="25">
        <f t="shared" si="44"/>
        <v>101.75</v>
      </c>
      <c r="BZ9" s="25">
        <f t="shared" si="45"/>
        <v>420.02</v>
      </c>
      <c r="CA9" s="25">
        <f t="shared" si="46"/>
        <v>295173.97637442179</v>
      </c>
      <c r="CB9" s="25">
        <f t="shared" si="47"/>
        <v>631058.93286256713</v>
      </c>
      <c r="CC9" s="25">
        <f t="shared" si="48"/>
        <v>178193.46840000001</v>
      </c>
      <c r="CD9" s="25">
        <f t="shared" si="49"/>
        <v>158643.85978593663</v>
      </c>
      <c r="CE9" s="25">
        <f t="shared" si="50"/>
        <v>654875.61658269376</v>
      </c>
      <c r="CF9" s="25">
        <f t="shared" si="51"/>
        <v>1104426.3776369891</v>
      </c>
      <c r="CG9" s="43">
        <f t="shared" si="52"/>
        <v>0.01</v>
      </c>
      <c r="CH9" s="8">
        <f t="shared" si="25"/>
        <v>28837.871740000002</v>
      </c>
      <c r="CI9" s="25">
        <f t="shared" si="53"/>
        <v>1133626.8493769893</v>
      </c>
      <c r="CJ9" s="25">
        <f t="shared" si="54"/>
        <v>181380.29590031828</v>
      </c>
      <c r="CK9" s="25">
        <f t="shared" si="55"/>
        <v>90690.147950159138</v>
      </c>
      <c r="CL9" s="25">
        <f t="shared" si="56"/>
        <v>1405697.2932274668</v>
      </c>
      <c r="CM9" s="47">
        <f t="shared" si="57"/>
        <v>2205958.4167725332</v>
      </c>
      <c r="CN9" s="41"/>
    </row>
    <row r="10" spans="1:93" x14ac:dyDescent="0.25">
      <c r="A10" s="40">
        <v>45504</v>
      </c>
      <c r="B10" s="40">
        <v>45535</v>
      </c>
      <c r="C10" s="8">
        <f t="shared" si="2"/>
        <v>31</v>
      </c>
      <c r="D10" s="8">
        <v>332002</v>
      </c>
      <c r="E10" s="8">
        <v>706495</v>
      </c>
      <c r="F10" s="8">
        <v>78101</v>
      </c>
      <c r="G10" s="8">
        <f t="shared" si="3"/>
        <v>1116598</v>
      </c>
      <c r="H10" s="8">
        <v>1743</v>
      </c>
      <c r="I10" s="8">
        <v>1925</v>
      </c>
      <c r="J10" s="8">
        <v>1915</v>
      </c>
      <c r="K10" s="8">
        <v>1925</v>
      </c>
      <c r="L10" s="27">
        <f t="shared" si="26"/>
        <v>2632.9890586681759</v>
      </c>
      <c r="M10" s="8">
        <v>417877</v>
      </c>
      <c r="N10" s="8">
        <v>93.66</v>
      </c>
      <c r="O10" s="25">
        <v>362.6</v>
      </c>
      <c r="P10" s="25">
        <v>1.1198999999999999</v>
      </c>
      <c r="Q10" s="25">
        <v>2.0049999999999999</v>
      </c>
      <c r="R10" s="25">
        <v>2.2871999999999999</v>
      </c>
      <c r="S10" s="25">
        <v>101.75</v>
      </c>
      <c r="T10" s="25">
        <v>423.67</v>
      </c>
      <c r="U10" s="31">
        <f t="shared" si="27"/>
        <v>1915</v>
      </c>
      <c r="V10" s="8">
        <f t="shared" si="28"/>
        <v>1925</v>
      </c>
      <c r="W10" s="25">
        <f t="shared" si="60"/>
        <v>371809.03979999997</v>
      </c>
      <c r="X10" s="25">
        <f t="shared" si="61"/>
        <v>1416522.4749999999</v>
      </c>
      <c r="Y10" s="25">
        <f t="shared" si="62"/>
        <v>178632.6072</v>
      </c>
      <c r="Z10" s="25">
        <f t="shared" si="63"/>
        <v>195868.75</v>
      </c>
      <c r="AA10" s="25">
        <f t="shared" si="64"/>
        <v>811328.05</v>
      </c>
      <c r="AB10" s="25">
        <f t="shared" si="65"/>
        <v>2974160.9219999993</v>
      </c>
      <c r="AC10" s="43">
        <f t="shared" si="29"/>
        <v>8.9999999999999993E-3</v>
      </c>
      <c r="AD10" s="25">
        <f t="shared" si="66"/>
        <v>26770.711697999992</v>
      </c>
      <c r="AE10" s="25">
        <f t="shared" si="67"/>
        <v>3001294.2336979993</v>
      </c>
      <c r="AF10" s="25">
        <f t="shared" si="30"/>
        <v>480207.07739167986</v>
      </c>
      <c r="AG10" s="25">
        <f t="shared" si="68"/>
        <v>240103.53869583993</v>
      </c>
      <c r="AH10" s="25">
        <f t="shared" si="69"/>
        <v>3721604.8497855188</v>
      </c>
      <c r="AI10" s="25">
        <v>3721605.57</v>
      </c>
      <c r="AJ10" s="8" t="s">
        <v>7</v>
      </c>
      <c r="AK10" s="8">
        <f t="shared" si="6"/>
        <v>243</v>
      </c>
      <c r="AL10" s="8">
        <f t="shared" si="6"/>
        <v>457</v>
      </c>
      <c r="AM10" s="8">
        <f t="shared" si="6"/>
        <v>44</v>
      </c>
      <c r="AN10" s="8">
        <f t="shared" si="6"/>
        <v>48</v>
      </c>
      <c r="AO10" s="8">
        <f t="shared" si="6"/>
        <v>324</v>
      </c>
      <c r="AP10" s="8">
        <f t="shared" si="31"/>
        <v>372</v>
      </c>
      <c r="AQ10" s="42">
        <f t="shared" si="7"/>
        <v>65580.641975308637</v>
      </c>
      <c r="AR10" s="27">
        <f t="shared" si="8"/>
        <v>500884.85776805249</v>
      </c>
      <c r="AS10" s="27">
        <f t="shared" si="9"/>
        <v>566465.49974336114</v>
      </c>
      <c r="AT10" s="43">
        <f t="shared" si="32"/>
        <v>0.11577164364823654</v>
      </c>
      <c r="AU10" s="43">
        <f t="shared" si="33"/>
        <v>0.88422835635176344</v>
      </c>
      <c r="AV10" s="43">
        <f t="shared" si="10"/>
        <v>0.50731373309226879</v>
      </c>
      <c r="AW10" s="8">
        <v>6.5503</v>
      </c>
      <c r="AX10" s="8">
        <v>0.85</v>
      </c>
      <c r="AY10" s="8">
        <v>0.62</v>
      </c>
      <c r="AZ10" s="31">
        <f t="shared" si="11"/>
        <v>6469.2663959855718</v>
      </c>
      <c r="BA10" s="31">
        <f t="shared" si="12"/>
        <v>10435</v>
      </c>
      <c r="BB10" s="31">
        <f t="shared" si="13"/>
        <v>4093.2406850377902</v>
      </c>
      <c r="BC10" s="31">
        <f t="shared" si="14"/>
        <v>6603</v>
      </c>
      <c r="BD10" s="31">
        <f t="shared" si="15"/>
        <v>3281.9476857158079</v>
      </c>
      <c r="BE10" s="31">
        <f t="shared" si="16"/>
        <v>5294</v>
      </c>
      <c r="BF10" s="31">
        <f t="shared" si="34"/>
        <v>2827.2</v>
      </c>
      <c r="BG10" s="31">
        <f t="shared" si="17"/>
        <v>487975.86501599994</v>
      </c>
      <c r="BH10" s="31">
        <f t="shared" si="35"/>
        <v>56493.767953572322</v>
      </c>
      <c r="BI10" s="31">
        <f t="shared" si="36"/>
        <v>431482.09706242761</v>
      </c>
      <c r="BJ10" s="31">
        <f t="shared" si="18"/>
        <v>-78490</v>
      </c>
      <c r="BK10" s="31">
        <f t="shared" si="19"/>
        <v>275508.23204642767</v>
      </c>
      <c r="BL10" s="31">
        <f t="shared" si="20"/>
        <v>275012.90293757239</v>
      </c>
      <c r="BM10" s="31">
        <f t="shared" si="21"/>
        <v>628622.13498400012</v>
      </c>
      <c r="BN10" s="43">
        <f t="shared" si="22"/>
        <v>0.4370201854346864</v>
      </c>
      <c r="BO10" s="31">
        <f t="shared" si="58"/>
        <v>275508.23204642767</v>
      </c>
      <c r="BP10" s="31">
        <f t="shared" si="59"/>
        <v>275012.90293757239</v>
      </c>
      <c r="BQ10" s="8">
        <f t="shared" si="37"/>
        <v>78101</v>
      </c>
      <c r="BR10" s="31">
        <f t="shared" si="38"/>
        <v>628622.13498400012</v>
      </c>
      <c r="BS10" s="31">
        <f t="shared" si="39"/>
        <v>1482.3196920015096</v>
      </c>
      <c r="BT10" s="8">
        <f t="shared" si="23"/>
        <v>93.66</v>
      </c>
      <c r="BU10" s="25">
        <f t="shared" si="40"/>
        <v>362.6</v>
      </c>
      <c r="BV10" s="25">
        <f t="shared" si="41"/>
        <v>1.1198999999999999</v>
      </c>
      <c r="BW10" s="25">
        <f t="shared" si="42"/>
        <v>2.0049999999999999</v>
      </c>
      <c r="BX10" s="25">
        <f t="shared" si="43"/>
        <v>2.2871999999999999</v>
      </c>
      <c r="BY10" s="25">
        <f t="shared" si="44"/>
        <v>101.75</v>
      </c>
      <c r="BZ10" s="25">
        <f t="shared" si="45"/>
        <v>423.67</v>
      </c>
      <c r="CA10" s="25">
        <f t="shared" si="46"/>
        <v>308541.66906879435</v>
      </c>
      <c r="CB10" s="25">
        <f t="shared" si="47"/>
        <v>551400.87038983265</v>
      </c>
      <c r="CC10" s="25">
        <f t="shared" si="48"/>
        <v>178632.6072</v>
      </c>
      <c r="CD10" s="25">
        <f t="shared" si="49"/>
        <v>150826.0286611536</v>
      </c>
      <c r="CE10" s="25">
        <f t="shared" si="50"/>
        <v>628014.3839102796</v>
      </c>
      <c r="CF10" s="25">
        <f t="shared" si="51"/>
        <v>1038575.146658627</v>
      </c>
      <c r="CG10" s="43">
        <f t="shared" si="52"/>
        <v>8.9999999999999993E-3</v>
      </c>
      <c r="CH10" s="8">
        <f t="shared" si="25"/>
        <v>26770.711697999992</v>
      </c>
      <c r="CI10" s="25">
        <f t="shared" si="53"/>
        <v>1065708.458356627</v>
      </c>
      <c r="CJ10" s="25">
        <f t="shared" si="54"/>
        <v>170513.35333706034</v>
      </c>
      <c r="CK10" s="25">
        <f t="shared" si="55"/>
        <v>85256.67666853017</v>
      </c>
      <c r="CL10" s="25">
        <f t="shared" si="56"/>
        <v>1321478.4883622176</v>
      </c>
      <c r="CM10" s="47">
        <f t="shared" si="57"/>
        <v>2400127.081637782</v>
      </c>
      <c r="CN10" s="41"/>
    </row>
    <row r="11" spans="1:93" x14ac:dyDescent="0.25">
      <c r="A11" s="40">
        <v>45535</v>
      </c>
      <c r="B11" s="40">
        <v>45565</v>
      </c>
      <c r="C11" s="8">
        <f t="shared" si="2"/>
        <v>30</v>
      </c>
      <c r="D11" s="8">
        <v>330471</v>
      </c>
      <c r="E11" s="8">
        <v>633961</v>
      </c>
      <c r="F11" s="8">
        <v>69105</v>
      </c>
      <c r="G11" s="8">
        <f t="shared" si="3"/>
        <v>1033537</v>
      </c>
      <c r="H11" s="8">
        <v>1625</v>
      </c>
      <c r="I11" s="8">
        <v>1867</v>
      </c>
      <c r="J11" s="8">
        <v>1858</v>
      </c>
      <c r="K11" s="8">
        <v>1867</v>
      </c>
      <c r="L11" s="27">
        <f t="shared" si="26"/>
        <v>2518.3650097465888</v>
      </c>
      <c r="M11" s="8">
        <v>383440</v>
      </c>
      <c r="N11" s="8">
        <v>93.76</v>
      </c>
      <c r="O11" s="25">
        <v>362.6</v>
      </c>
      <c r="P11" s="25">
        <v>1.1198999999999999</v>
      </c>
      <c r="Q11" s="25">
        <v>2.0051000000000001</v>
      </c>
      <c r="R11" s="25">
        <v>2.2873000000000001</v>
      </c>
      <c r="S11" s="25">
        <v>101.75</v>
      </c>
      <c r="T11" s="25">
        <v>423.69</v>
      </c>
      <c r="U11" s="31">
        <f t="shared" si="27"/>
        <v>1858</v>
      </c>
      <c r="V11" s="8">
        <f t="shared" si="28"/>
        <v>1867</v>
      </c>
      <c r="W11" s="25">
        <f t="shared" si="60"/>
        <v>370094.47289999999</v>
      </c>
      <c r="X11" s="25">
        <f t="shared" si="61"/>
        <v>1271155.2011000002</v>
      </c>
      <c r="Y11" s="25">
        <f t="shared" si="62"/>
        <v>158063.8665</v>
      </c>
      <c r="Z11" s="25">
        <f t="shared" si="63"/>
        <v>189967.25</v>
      </c>
      <c r="AA11" s="25">
        <f t="shared" si="64"/>
        <v>787216.02</v>
      </c>
      <c r="AB11" s="25">
        <f t="shared" si="65"/>
        <v>2776496.8105000001</v>
      </c>
      <c r="AC11" s="43">
        <f t="shared" si="29"/>
        <v>8.0000000000000002E-3</v>
      </c>
      <c r="AD11" s="25">
        <f t="shared" si="66"/>
        <v>22214.875284000002</v>
      </c>
      <c r="AE11" s="25">
        <f t="shared" si="67"/>
        <v>2799074.2857840001</v>
      </c>
      <c r="AF11" s="25">
        <f t="shared" si="30"/>
        <v>447851.88572543999</v>
      </c>
      <c r="AG11" s="25">
        <f t="shared" si="68"/>
        <v>223925.94286272</v>
      </c>
      <c r="AH11" s="25">
        <f t="shared" si="69"/>
        <v>3470852.1143721603</v>
      </c>
      <c r="AI11" s="25">
        <v>3470852.69</v>
      </c>
      <c r="AJ11" s="8" t="s">
        <v>7</v>
      </c>
      <c r="AK11" s="8">
        <f t="shared" si="6"/>
        <v>249</v>
      </c>
      <c r="AL11" s="8">
        <f t="shared" si="6"/>
        <v>429</v>
      </c>
      <c r="AM11" s="8">
        <f t="shared" si="6"/>
        <v>42</v>
      </c>
      <c r="AN11" s="8">
        <f t="shared" si="6"/>
        <v>60</v>
      </c>
      <c r="AO11" s="8">
        <f t="shared" si="6"/>
        <v>300</v>
      </c>
      <c r="AP11" s="8">
        <f t="shared" si="31"/>
        <v>360</v>
      </c>
      <c r="AQ11" s="42">
        <f t="shared" si="7"/>
        <v>79631.566265060246</v>
      </c>
      <c r="AR11" s="27">
        <f t="shared" si="8"/>
        <v>443329.37062937062</v>
      </c>
      <c r="AS11" s="27">
        <f t="shared" si="9"/>
        <v>522960.9368944309</v>
      </c>
      <c r="AT11" s="43">
        <f t="shared" si="32"/>
        <v>0.15227058207817024</v>
      </c>
      <c r="AU11" s="43">
        <f t="shared" si="33"/>
        <v>0.84772941792182965</v>
      </c>
      <c r="AV11" s="43">
        <f t="shared" si="10"/>
        <v>0.50599149996026349</v>
      </c>
      <c r="AW11" s="8">
        <v>5.3507999999999996</v>
      </c>
      <c r="AX11" s="8">
        <v>0.85</v>
      </c>
      <c r="AY11" s="8">
        <v>0.62</v>
      </c>
      <c r="AZ11" s="31">
        <f t="shared" si="11"/>
        <v>7574.729525509837</v>
      </c>
      <c r="BA11" s="31">
        <f t="shared" si="12"/>
        <v>12218</v>
      </c>
      <c r="BB11" s="31">
        <f t="shared" si="13"/>
        <v>4646.261434976921</v>
      </c>
      <c r="BC11" s="31">
        <f t="shared" si="14"/>
        <v>7494</v>
      </c>
      <c r="BD11" s="31">
        <f t="shared" si="15"/>
        <v>3832.7487544060177</v>
      </c>
      <c r="BE11" s="31">
        <f t="shared" si="16"/>
        <v>6182</v>
      </c>
      <c r="BF11" s="31">
        <f t="shared" si="34"/>
        <v>2827.2</v>
      </c>
      <c r="BG11" s="31">
        <f t="shared" si="17"/>
        <v>385758.43487999996</v>
      </c>
      <c r="BH11" s="31">
        <f t="shared" si="35"/>
        <v>58739.661420741519</v>
      </c>
      <c r="BI11" s="31">
        <f t="shared" si="36"/>
        <v>327018.77345925837</v>
      </c>
      <c r="BJ11" s="31">
        <f t="shared" si="18"/>
        <v>-137203</v>
      </c>
      <c r="BK11" s="31">
        <f t="shared" si="19"/>
        <v>271731.33857925847</v>
      </c>
      <c r="BL11" s="31">
        <f t="shared" si="20"/>
        <v>306942.22654074163</v>
      </c>
      <c r="BM11" s="31">
        <f t="shared" si="21"/>
        <v>647778.56512000004</v>
      </c>
      <c r="BN11" s="43">
        <f t="shared" si="22"/>
        <v>0.37324104979308914</v>
      </c>
      <c r="BO11" s="31">
        <f t="shared" si="58"/>
        <v>271731.33857925847</v>
      </c>
      <c r="BP11" s="31">
        <f t="shared" si="59"/>
        <v>306942.22654074163</v>
      </c>
      <c r="BQ11" s="8">
        <f t="shared" si="37"/>
        <v>69105</v>
      </c>
      <c r="BR11" s="31">
        <f t="shared" si="38"/>
        <v>647778.56512000016</v>
      </c>
      <c r="BS11" s="31">
        <f t="shared" si="39"/>
        <v>1578.4078097465892</v>
      </c>
      <c r="BT11" s="8">
        <f t="shared" si="23"/>
        <v>93.76</v>
      </c>
      <c r="BU11" s="25">
        <f t="shared" si="40"/>
        <v>362.6</v>
      </c>
      <c r="BV11" s="25">
        <f t="shared" si="41"/>
        <v>1.1198999999999999</v>
      </c>
      <c r="BW11" s="25">
        <f t="shared" si="42"/>
        <v>2.0051000000000001</v>
      </c>
      <c r="BX11" s="25">
        <f t="shared" si="43"/>
        <v>2.2873000000000001</v>
      </c>
      <c r="BY11" s="25">
        <f t="shared" si="44"/>
        <v>101.75</v>
      </c>
      <c r="BZ11" s="25">
        <f t="shared" si="45"/>
        <v>423.69</v>
      </c>
      <c r="CA11" s="25">
        <f t="shared" si="46"/>
        <v>304311.92607491155</v>
      </c>
      <c r="CB11" s="25">
        <f t="shared" si="47"/>
        <v>615449.85843684105</v>
      </c>
      <c r="CC11" s="25">
        <f t="shared" si="48"/>
        <v>158063.8665</v>
      </c>
      <c r="CD11" s="25">
        <f t="shared" si="49"/>
        <v>160602.99464171546</v>
      </c>
      <c r="CE11" s="25">
        <f t="shared" si="50"/>
        <v>668755.60491153237</v>
      </c>
      <c r="CF11" s="25">
        <f t="shared" si="51"/>
        <v>1077825.6510117527</v>
      </c>
      <c r="CG11" s="43">
        <f t="shared" si="52"/>
        <v>8.0000000000000002E-3</v>
      </c>
      <c r="CH11" s="8">
        <f t="shared" si="25"/>
        <v>22214.875284000002</v>
      </c>
      <c r="CI11" s="25">
        <f t="shared" si="53"/>
        <v>1100403.1262957528</v>
      </c>
      <c r="CJ11" s="25">
        <f t="shared" si="54"/>
        <v>176064.50020732047</v>
      </c>
      <c r="CK11" s="25">
        <f t="shared" si="55"/>
        <v>88032.250103660233</v>
      </c>
      <c r="CL11" s="25">
        <f t="shared" si="56"/>
        <v>1364499.8766067335</v>
      </c>
      <c r="CM11" s="47">
        <f t="shared" si="57"/>
        <v>2106352.8133932664</v>
      </c>
      <c r="CN11" s="41"/>
    </row>
    <row r="12" spans="1:93" x14ac:dyDescent="0.25">
      <c r="A12" s="40">
        <v>45565</v>
      </c>
      <c r="B12" s="40">
        <v>45596</v>
      </c>
      <c r="C12" s="8">
        <f t="shared" si="2"/>
        <v>31</v>
      </c>
      <c r="D12" s="8">
        <v>321208</v>
      </c>
      <c r="E12" s="8">
        <v>640990</v>
      </c>
      <c r="F12" s="8">
        <v>87420</v>
      </c>
      <c r="G12" s="8">
        <f t="shared" si="3"/>
        <v>1049618</v>
      </c>
      <c r="H12" s="8">
        <v>1538</v>
      </c>
      <c r="I12" s="8">
        <v>1713</v>
      </c>
      <c r="J12" s="8">
        <v>1744</v>
      </c>
      <c r="K12" s="8">
        <v>1848</v>
      </c>
      <c r="L12" s="27">
        <f t="shared" si="26"/>
        <v>2475.0471609130354</v>
      </c>
      <c r="M12" s="8">
        <v>383597</v>
      </c>
      <c r="N12" s="8">
        <v>94.1</v>
      </c>
      <c r="O12" s="25">
        <v>362.6</v>
      </c>
      <c r="P12" s="25">
        <v>1.1200000000000001</v>
      </c>
      <c r="Q12" s="25">
        <v>2.0051999999999999</v>
      </c>
      <c r="R12" s="25">
        <v>2.2873999999999999</v>
      </c>
      <c r="S12" s="25">
        <v>101.75</v>
      </c>
      <c r="T12" s="25">
        <v>423.7</v>
      </c>
      <c r="U12" s="31">
        <f t="shared" si="27"/>
        <v>1744</v>
      </c>
      <c r="V12" s="8">
        <f t="shared" si="28"/>
        <v>1848</v>
      </c>
      <c r="W12" s="25">
        <f t="shared" si="60"/>
        <v>359752.96000000002</v>
      </c>
      <c r="X12" s="25">
        <f t="shared" si="61"/>
        <v>1285313.1479999998</v>
      </c>
      <c r="Y12" s="25">
        <f t="shared" si="62"/>
        <v>199964.508</v>
      </c>
      <c r="Z12" s="25">
        <f t="shared" si="63"/>
        <v>188034</v>
      </c>
      <c r="AA12" s="25">
        <f t="shared" si="64"/>
        <v>738932.79999999993</v>
      </c>
      <c r="AB12" s="25">
        <f t="shared" si="65"/>
        <v>2771997.4159999997</v>
      </c>
      <c r="AC12" s="43">
        <f t="shared" si="29"/>
        <v>6.0000000000000001E-3</v>
      </c>
      <c r="AD12" s="25">
        <f t="shared" si="66"/>
        <v>16634.160096</v>
      </c>
      <c r="AE12" s="25">
        <f t="shared" si="67"/>
        <v>2788994.1760959998</v>
      </c>
      <c r="AF12" s="25">
        <f t="shared" si="30"/>
        <v>446239.06817535998</v>
      </c>
      <c r="AG12" s="25">
        <f t="shared" si="68"/>
        <v>223119.53408767999</v>
      </c>
      <c r="AH12" s="25">
        <f t="shared" si="69"/>
        <v>3458352.7783590397</v>
      </c>
      <c r="AI12" s="25">
        <v>3505262.83</v>
      </c>
      <c r="AJ12" s="8" t="s">
        <v>7</v>
      </c>
      <c r="AK12" s="8">
        <f>SUM(Hoja2!O277:O307)</f>
        <v>241</v>
      </c>
      <c r="AL12" s="8">
        <f>SUM(Hoja2!P277:P307)</f>
        <v>449</v>
      </c>
      <c r="AM12" s="8">
        <f>SUM(Hoja2!Q277:Q307)</f>
        <v>54</v>
      </c>
      <c r="AN12" s="8">
        <f>SUM(Hoja2!R277:R307)</f>
        <v>48</v>
      </c>
      <c r="AO12" s="8">
        <f>SUM(Hoja2!S277:S307)</f>
        <v>324</v>
      </c>
      <c r="AP12" s="8">
        <f t="shared" si="31"/>
        <v>372</v>
      </c>
      <c r="AQ12" s="42">
        <f t="shared" si="7"/>
        <v>63975.037344398341</v>
      </c>
      <c r="AR12" s="27">
        <f t="shared" si="8"/>
        <v>462540.66815144767</v>
      </c>
      <c r="AS12" s="27">
        <f t="shared" si="9"/>
        <v>526515.70549584599</v>
      </c>
      <c r="AT12" s="43">
        <f t="shared" si="32"/>
        <v>0.12150641790286174</v>
      </c>
      <c r="AU12" s="43">
        <f t="shared" si="33"/>
        <v>0.87849358209713824</v>
      </c>
      <c r="AV12" s="43">
        <f t="shared" si="10"/>
        <v>0.50162602536908285</v>
      </c>
      <c r="AW12" s="8">
        <v>5.6393000000000004</v>
      </c>
      <c r="AX12" s="8">
        <v>0.85</v>
      </c>
      <c r="AY12" s="8">
        <v>0.62</v>
      </c>
      <c r="AZ12" s="31">
        <f t="shared" si="11"/>
        <v>7063.5894862400146</v>
      </c>
      <c r="BA12" s="31">
        <f t="shared" si="12"/>
        <v>11393</v>
      </c>
      <c r="BB12" s="31">
        <f t="shared" si="13"/>
        <v>4313.655277238945</v>
      </c>
      <c r="BC12" s="31">
        <f t="shared" si="14"/>
        <v>6958</v>
      </c>
      <c r="BD12" s="31">
        <f t="shared" si="15"/>
        <v>3543.2803188214207</v>
      </c>
      <c r="BE12" s="31">
        <f t="shared" si="16"/>
        <v>5715</v>
      </c>
      <c r="BF12" s="31">
        <f t="shared" si="34"/>
        <v>2827.2</v>
      </c>
      <c r="BG12" s="31">
        <f t="shared" si="17"/>
        <v>420109.35309600004</v>
      </c>
      <c r="BH12" s="31">
        <f t="shared" si="35"/>
        <v>51045.982622183481</v>
      </c>
      <c r="BI12" s="31">
        <f t="shared" si="36"/>
        <v>369063.37047381653</v>
      </c>
      <c r="BJ12" s="31">
        <f t="shared" si="18"/>
        <v>-106407</v>
      </c>
      <c r="BK12" s="31">
        <f t="shared" si="19"/>
        <v>270162.01737781649</v>
      </c>
      <c r="BL12" s="31">
        <f t="shared" si="20"/>
        <v>271926.62952618347</v>
      </c>
      <c r="BM12" s="31">
        <f t="shared" si="21"/>
        <v>629508.64690399996</v>
      </c>
      <c r="BN12" s="43">
        <f t="shared" si="22"/>
        <v>0.40024976048047961</v>
      </c>
      <c r="BO12" s="31">
        <f t="shared" si="58"/>
        <v>270162.01737781649</v>
      </c>
      <c r="BP12" s="31">
        <f t="shared" si="59"/>
        <v>271926.62952618347</v>
      </c>
      <c r="BQ12" s="8">
        <f t="shared" si="37"/>
        <v>87420</v>
      </c>
      <c r="BR12" s="31">
        <f t="shared" si="38"/>
        <v>629508.64690399996</v>
      </c>
      <c r="BS12" s="31">
        <f t="shared" si="39"/>
        <v>1484.410127579702</v>
      </c>
      <c r="BT12" s="8">
        <f t="shared" si="23"/>
        <v>94.1</v>
      </c>
      <c r="BU12" s="25">
        <f t="shared" si="40"/>
        <v>362.6</v>
      </c>
      <c r="BV12" s="25">
        <f t="shared" si="41"/>
        <v>1.1200000000000001</v>
      </c>
      <c r="BW12" s="25">
        <f t="shared" si="42"/>
        <v>2.0051999999999999</v>
      </c>
      <c r="BX12" s="25">
        <f t="shared" si="43"/>
        <v>2.2873999999999999</v>
      </c>
      <c r="BY12" s="25">
        <f t="shared" si="44"/>
        <v>101.75</v>
      </c>
      <c r="BZ12" s="25">
        <f t="shared" si="45"/>
        <v>423.7</v>
      </c>
      <c r="CA12" s="25">
        <f t="shared" si="46"/>
        <v>302581.45946315449</v>
      </c>
      <c r="CB12" s="25">
        <f t="shared" si="47"/>
        <v>545267.27752590308</v>
      </c>
      <c r="CC12" s="25">
        <f t="shared" si="48"/>
        <v>199964.508</v>
      </c>
      <c r="CD12" s="25">
        <f t="shared" si="49"/>
        <v>151038.73048123467</v>
      </c>
      <c r="CE12" s="25">
        <f t="shared" si="50"/>
        <v>628944.57105551974</v>
      </c>
      <c r="CF12" s="25">
        <f t="shared" si="51"/>
        <v>1047813.2449890577</v>
      </c>
      <c r="CG12" s="43">
        <f t="shared" si="52"/>
        <v>6.0000000000000001E-3</v>
      </c>
      <c r="CH12" s="8">
        <f t="shared" si="25"/>
        <v>16634.160096</v>
      </c>
      <c r="CI12" s="25">
        <f t="shared" si="53"/>
        <v>1064810.0050850576</v>
      </c>
      <c r="CJ12" s="25">
        <f t="shared" si="54"/>
        <v>170369.60081360923</v>
      </c>
      <c r="CK12" s="25">
        <f t="shared" si="55"/>
        <v>85184.800406804614</v>
      </c>
      <c r="CL12" s="25">
        <f t="shared" si="56"/>
        <v>1320364.4063054714</v>
      </c>
      <c r="CM12" s="47">
        <f t="shared" si="57"/>
        <v>2184898.4236945286</v>
      </c>
      <c r="CN12" s="41"/>
    </row>
    <row r="13" spans="1:93" x14ac:dyDescent="0.25">
      <c r="A13" s="40">
        <v>45596</v>
      </c>
      <c r="B13" s="40">
        <v>45626</v>
      </c>
      <c r="C13" s="8">
        <f t="shared" si="2"/>
        <v>30</v>
      </c>
      <c r="D13" s="8">
        <v>317744</v>
      </c>
      <c r="E13" s="8">
        <v>547998</v>
      </c>
      <c r="F13" s="8">
        <v>149661</v>
      </c>
      <c r="G13" s="8">
        <f t="shared" si="3"/>
        <v>1015403</v>
      </c>
      <c r="H13" s="8">
        <v>1778</v>
      </c>
      <c r="I13" s="8">
        <v>1809</v>
      </c>
      <c r="J13" s="8">
        <v>1807</v>
      </c>
      <c r="K13" s="8">
        <v>1809</v>
      </c>
      <c r="L13" s="27">
        <f t="shared" si="26"/>
        <v>2474.1788499025342</v>
      </c>
      <c r="M13" s="8">
        <v>362838</v>
      </c>
      <c r="N13" s="8">
        <v>94.17</v>
      </c>
      <c r="O13" s="25">
        <v>362.6</v>
      </c>
      <c r="P13" s="25">
        <v>1.1198999999999999</v>
      </c>
      <c r="Q13" s="25">
        <v>2.0051000000000001</v>
      </c>
      <c r="R13" s="25">
        <v>2.2873000000000001</v>
      </c>
      <c r="S13" s="25">
        <v>101.75</v>
      </c>
      <c r="T13" s="25">
        <v>423.69</v>
      </c>
      <c r="U13" s="31">
        <f t="shared" si="27"/>
        <v>1807</v>
      </c>
      <c r="V13" s="8">
        <f t="shared" si="28"/>
        <v>1809</v>
      </c>
      <c r="W13" s="25">
        <f t="shared" si="60"/>
        <v>355841.50559999997</v>
      </c>
      <c r="X13" s="25">
        <f t="shared" si="61"/>
        <v>1098790.7898000001</v>
      </c>
      <c r="Y13" s="25">
        <f t="shared" si="62"/>
        <v>342319.6053</v>
      </c>
      <c r="Z13" s="25">
        <f t="shared" si="63"/>
        <v>184065.75</v>
      </c>
      <c r="AA13" s="25">
        <f t="shared" si="64"/>
        <v>765607.83</v>
      </c>
      <c r="AB13" s="25">
        <f t="shared" si="65"/>
        <v>2746625.4807000002</v>
      </c>
      <c r="AC13" s="43">
        <f t="shared" si="29"/>
        <v>5.0000000000000001E-3</v>
      </c>
      <c r="AD13" s="25">
        <f t="shared" si="66"/>
        <v>13734.940403500003</v>
      </c>
      <c r="AE13" s="25">
        <f t="shared" si="67"/>
        <v>2760723.0211035004</v>
      </c>
      <c r="AF13" s="25">
        <f t="shared" si="30"/>
        <v>441715.68337656005</v>
      </c>
      <c r="AG13" s="25">
        <f t="shared" si="68"/>
        <v>220857.84168828002</v>
      </c>
      <c r="AH13" s="25">
        <f t="shared" si="69"/>
        <v>3423296.5461683404</v>
      </c>
      <c r="AI13" s="25">
        <v>3423297.38</v>
      </c>
      <c r="AJ13" s="8" t="s">
        <v>7</v>
      </c>
      <c r="AK13" s="8">
        <f>SUM(Hoja2!O308:O337)</f>
        <v>238</v>
      </c>
      <c r="AL13" s="8">
        <f>SUM(Hoja2!P308:P337)</f>
        <v>388</v>
      </c>
      <c r="AM13" s="8">
        <f>SUM(Hoja2!Q308:Q337)</f>
        <v>94</v>
      </c>
      <c r="AN13" s="8">
        <f>SUM(Hoja2!R308:R337)</f>
        <v>53</v>
      </c>
      <c r="AO13" s="8">
        <f>SUM(Hoja2!S308:S337)</f>
        <v>307</v>
      </c>
      <c r="AP13" s="8">
        <f t="shared" si="31"/>
        <v>360</v>
      </c>
      <c r="AQ13" s="42">
        <f t="shared" si="7"/>
        <v>70758.117647058825</v>
      </c>
      <c r="AR13" s="27">
        <f t="shared" si="8"/>
        <v>433596.3556701031</v>
      </c>
      <c r="AS13" s="27">
        <f t="shared" si="9"/>
        <v>504354.4733171619</v>
      </c>
      <c r="AT13" s="43">
        <f t="shared" si="32"/>
        <v>0.1402944186886646</v>
      </c>
      <c r="AU13" s="43">
        <f t="shared" si="33"/>
        <v>0.85970558131133545</v>
      </c>
      <c r="AV13" s="43">
        <f t="shared" si="10"/>
        <v>0.49670374552484275</v>
      </c>
      <c r="AW13" s="8">
        <v>5.2598000000000003</v>
      </c>
      <c r="AX13" s="8">
        <v>0.85</v>
      </c>
      <c r="AY13" s="8">
        <v>0.62</v>
      </c>
      <c r="AZ13" s="31">
        <f t="shared" si="11"/>
        <v>7570.5778718194761</v>
      </c>
      <c r="BA13" s="31">
        <f t="shared" si="12"/>
        <v>12211</v>
      </c>
      <c r="BB13" s="31">
        <f t="shared" si="13"/>
        <v>4085.7290480738475</v>
      </c>
      <c r="BC13" s="31">
        <f t="shared" si="14"/>
        <v>6590</v>
      </c>
      <c r="BD13" s="31">
        <f t="shared" si="15"/>
        <v>3760.3343847202264</v>
      </c>
      <c r="BE13" s="31">
        <f t="shared" si="16"/>
        <v>6066</v>
      </c>
      <c r="BF13" s="31">
        <f t="shared" si="34"/>
        <v>2827.2</v>
      </c>
      <c r="BG13" s="31">
        <f t="shared" si="17"/>
        <v>379197.91727999999</v>
      </c>
      <c r="BH13" s="31">
        <f t="shared" si="35"/>
        <v>53199.351372749923</v>
      </c>
      <c r="BI13" s="31">
        <f t="shared" si="36"/>
        <v>325998.5659072501</v>
      </c>
      <c r="BJ13" s="31">
        <f t="shared" si="18"/>
        <v>-125157</v>
      </c>
      <c r="BK13" s="31">
        <f t="shared" si="19"/>
        <v>264544.64862725011</v>
      </c>
      <c r="BL13" s="31">
        <f t="shared" si="20"/>
        <v>221999.4340927499</v>
      </c>
      <c r="BM13" s="31">
        <f t="shared" si="21"/>
        <v>636205.08272000006</v>
      </c>
      <c r="BN13" s="43">
        <f t="shared" si="22"/>
        <v>0.37344573265984049</v>
      </c>
      <c r="BO13" s="31">
        <f t="shared" si="58"/>
        <v>264544.64862725011</v>
      </c>
      <c r="BP13" s="31">
        <f t="shared" si="59"/>
        <v>221999.4340927499</v>
      </c>
      <c r="BQ13" s="8">
        <f t="shared" si="37"/>
        <v>149661</v>
      </c>
      <c r="BR13" s="31">
        <f t="shared" si="38"/>
        <v>636205.08272000006</v>
      </c>
      <c r="BS13" s="31">
        <f t="shared" si="39"/>
        <v>1550.2073165692011</v>
      </c>
      <c r="BT13" s="8">
        <f t="shared" si="23"/>
        <v>94.17</v>
      </c>
      <c r="BU13" s="25">
        <f t="shared" si="40"/>
        <v>362.6</v>
      </c>
      <c r="BV13" s="25">
        <f t="shared" si="41"/>
        <v>1.1198999999999999</v>
      </c>
      <c r="BW13" s="25">
        <f t="shared" si="42"/>
        <v>2.0051000000000001</v>
      </c>
      <c r="BX13" s="25">
        <f t="shared" si="43"/>
        <v>2.2873000000000001</v>
      </c>
      <c r="BY13" s="25">
        <f t="shared" si="44"/>
        <v>101.75</v>
      </c>
      <c r="BZ13" s="25">
        <f t="shared" si="45"/>
        <v>423.69</v>
      </c>
      <c r="CA13" s="25">
        <f t="shared" si="46"/>
        <v>296263.55199765734</v>
      </c>
      <c r="CB13" s="25">
        <f t="shared" si="47"/>
        <v>445131.06529937283</v>
      </c>
      <c r="CC13" s="25">
        <f t="shared" si="48"/>
        <v>342319.6053</v>
      </c>
      <c r="CD13" s="25">
        <f t="shared" si="49"/>
        <v>157733.59446091621</v>
      </c>
      <c r="CE13" s="25">
        <f t="shared" si="50"/>
        <v>656807.33795720479</v>
      </c>
      <c r="CF13" s="25">
        <f t="shared" si="51"/>
        <v>1083714.2225970302</v>
      </c>
      <c r="CG13" s="43">
        <f t="shared" si="52"/>
        <v>5.0000000000000001E-3</v>
      </c>
      <c r="CH13" s="8">
        <f t="shared" si="25"/>
        <v>13734.940403500003</v>
      </c>
      <c r="CI13" s="25">
        <f t="shared" si="53"/>
        <v>1097811.7630005304</v>
      </c>
      <c r="CJ13" s="25">
        <f t="shared" si="54"/>
        <v>175649.88208008488</v>
      </c>
      <c r="CK13" s="25">
        <f t="shared" si="55"/>
        <v>87824.941040042439</v>
      </c>
      <c r="CL13" s="25">
        <f t="shared" si="56"/>
        <v>1361286.5861206576</v>
      </c>
      <c r="CM13" s="47">
        <f t="shared" si="57"/>
        <v>2062010.7938793423</v>
      </c>
      <c r="CN13" s="41"/>
    </row>
    <row r="14" spans="1:93" x14ac:dyDescent="0.25">
      <c r="A14" s="40">
        <v>45626</v>
      </c>
      <c r="B14" s="40">
        <v>45657</v>
      </c>
      <c r="C14" s="8">
        <f t="shared" si="2"/>
        <v>31</v>
      </c>
      <c r="D14" s="8">
        <v>266857</v>
      </c>
      <c r="E14" s="8">
        <v>421137</v>
      </c>
      <c r="F14" s="8">
        <v>115374</v>
      </c>
      <c r="G14" s="8">
        <f t="shared" si="3"/>
        <v>803368</v>
      </c>
      <c r="H14" s="8">
        <v>1705</v>
      </c>
      <c r="I14" s="8">
        <v>1860</v>
      </c>
      <c r="J14" s="8">
        <v>1769</v>
      </c>
      <c r="K14" s="8">
        <v>1860</v>
      </c>
      <c r="L14" s="27">
        <f t="shared" si="26"/>
        <v>1894.378419166195</v>
      </c>
      <c r="M14" s="8">
        <v>282886</v>
      </c>
      <c r="N14" s="8">
        <v>94.32</v>
      </c>
      <c r="O14" s="25">
        <v>362.6</v>
      </c>
      <c r="P14" s="25">
        <v>1.1044</v>
      </c>
      <c r="Q14" s="25">
        <v>1.9748000000000001</v>
      </c>
      <c r="R14" s="25">
        <v>2.2524000000000002</v>
      </c>
      <c r="S14" s="25">
        <v>101.75</v>
      </c>
      <c r="T14" s="25">
        <v>416.63</v>
      </c>
      <c r="U14" s="31">
        <f t="shared" si="27"/>
        <v>1769</v>
      </c>
      <c r="V14" s="8">
        <f t="shared" si="28"/>
        <v>1860</v>
      </c>
      <c r="W14" s="25">
        <f t="shared" si="60"/>
        <v>294716.87080000003</v>
      </c>
      <c r="X14" s="25">
        <f t="shared" si="61"/>
        <v>831661.3476000001</v>
      </c>
      <c r="Y14" s="25">
        <f t="shared" si="62"/>
        <v>259868.39760000003</v>
      </c>
      <c r="Z14" s="25">
        <f t="shared" si="63"/>
        <v>189255</v>
      </c>
      <c r="AA14" s="25">
        <f t="shared" si="64"/>
        <v>737018.47</v>
      </c>
      <c r="AB14" s="25">
        <f t="shared" si="65"/>
        <v>2312520.0860000001</v>
      </c>
      <c r="AC14" s="43">
        <f t="shared" si="29"/>
        <v>4.0000000000000001E-3</v>
      </c>
      <c r="AD14" s="25">
        <f t="shared" si="66"/>
        <v>9251.5307440000015</v>
      </c>
      <c r="AE14" s="25">
        <f t="shared" si="67"/>
        <v>2322134.2167440001</v>
      </c>
      <c r="AF14" s="25">
        <f t="shared" si="30"/>
        <v>371541.47467904002</v>
      </c>
      <c r="AG14" s="25">
        <f t="shared" si="68"/>
        <v>185770.73733952001</v>
      </c>
      <c r="AH14" s="25">
        <f t="shared" si="69"/>
        <v>2879446.4287625598</v>
      </c>
      <c r="AI14" s="25">
        <v>2879446.8</v>
      </c>
      <c r="AJ14" s="8" t="s">
        <v>7</v>
      </c>
      <c r="AK14" s="8">
        <f>SUM(Hoja2!O338:O368)</f>
        <v>254</v>
      </c>
      <c r="AL14" s="8">
        <f>SUM(Hoja2!P338:P368)</f>
        <v>394</v>
      </c>
      <c r="AM14" s="8">
        <f>SUM(Hoja2!Q338:Q368)</f>
        <v>96</v>
      </c>
      <c r="AN14" s="8">
        <f>SUM(Hoja2!R338:R368)</f>
        <v>64</v>
      </c>
      <c r="AO14" s="8">
        <f>SUM(Hoja2!S338:S368)</f>
        <v>308</v>
      </c>
      <c r="AP14" s="8">
        <f t="shared" si="31"/>
        <v>372</v>
      </c>
      <c r="AQ14" s="42">
        <f t="shared" si="7"/>
        <v>67239.559055118109</v>
      </c>
      <c r="AR14" s="27">
        <f t="shared" si="8"/>
        <v>329213.69543147209</v>
      </c>
      <c r="AS14" s="27">
        <f t="shared" si="9"/>
        <v>396453.25448659022</v>
      </c>
      <c r="AT14" s="43">
        <f t="shared" si="32"/>
        <v>0.1696027420488547</v>
      </c>
      <c r="AU14" s="43">
        <f t="shared" si="33"/>
        <v>0.83039725795114527</v>
      </c>
      <c r="AV14" s="43">
        <f t="shared" si="10"/>
        <v>0.49348897950452375</v>
      </c>
      <c r="AW14" s="8">
        <v>4.6351000000000004</v>
      </c>
      <c r="AX14" s="8">
        <v>0.85</v>
      </c>
      <c r="AY14" s="8">
        <v>0.62</v>
      </c>
      <c r="AZ14" s="31">
        <f t="shared" si="11"/>
        <v>6577.7111920152865</v>
      </c>
      <c r="BA14" s="31">
        <f t="shared" si="12"/>
        <v>10610</v>
      </c>
      <c r="BB14" s="31">
        <f t="shared" si="13"/>
        <v>3448.1303191958627</v>
      </c>
      <c r="BC14" s="31">
        <f t="shared" si="14"/>
        <v>5562</v>
      </c>
      <c r="BD14" s="31">
        <f t="shared" si="15"/>
        <v>3246.027983623108</v>
      </c>
      <c r="BE14" s="31">
        <f t="shared" si="16"/>
        <v>5236</v>
      </c>
      <c r="BF14" s="31">
        <f t="shared" si="34"/>
        <v>2827.2</v>
      </c>
      <c r="BG14" s="31">
        <f t="shared" si="17"/>
        <v>345299.74687200005</v>
      </c>
      <c r="BH14" s="31">
        <f t="shared" si="35"/>
        <v>58563.783898266644</v>
      </c>
      <c r="BI14" s="31">
        <f t="shared" si="36"/>
        <v>286735.96297373337</v>
      </c>
      <c r="BJ14" s="31">
        <f t="shared" si="18"/>
        <v>-51154</v>
      </c>
      <c r="BK14" s="31">
        <f t="shared" si="19"/>
        <v>208293.21610173336</v>
      </c>
      <c r="BL14" s="31">
        <f t="shared" si="20"/>
        <v>134401.03702626663</v>
      </c>
      <c r="BM14" s="31">
        <f t="shared" si="21"/>
        <v>458068.25312799995</v>
      </c>
      <c r="BN14" s="43">
        <f t="shared" si="22"/>
        <v>0.4298151617589947</v>
      </c>
      <c r="BO14" s="31">
        <f t="shared" si="58"/>
        <v>208293.21610173336</v>
      </c>
      <c r="BP14" s="31">
        <f t="shared" si="59"/>
        <v>134401.03702626663</v>
      </c>
      <c r="BQ14" s="8">
        <f t="shared" si="37"/>
        <v>115374</v>
      </c>
      <c r="BR14" s="31">
        <f t="shared" si="38"/>
        <v>458068.25312799995</v>
      </c>
      <c r="BS14" s="31">
        <f t="shared" si="39"/>
        <v>1080.1458524995282</v>
      </c>
      <c r="BT14" s="8">
        <f t="shared" si="23"/>
        <v>94.32</v>
      </c>
      <c r="BU14" s="25">
        <f t="shared" si="40"/>
        <v>362.6</v>
      </c>
      <c r="BV14" s="25">
        <f t="shared" si="41"/>
        <v>1.1044</v>
      </c>
      <c r="BW14" s="25">
        <f t="shared" si="42"/>
        <v>1.9748000000000001</v>
      </c>
      <c r="BX14" s="25">
        <f t="shared" si="43"/>
        <v>2.2524000000000002</v>
      </c>
      <c r="BY14" s="25">
        <f t="shared" si="44"/>
        <v>101.75</v>
      </c>
      <c r="BZ14" s="25">
        <f t="shared" si="45"/>
        <v>416.63</v>
      </c>
      <c r="CA14" s="25">
        <f t="shared" si="46"/>
        <v>230039.02786275433</v>
      </c>
      <c r="CB14" s="25">
        <f t="shared" si="47"/>
        <v>265415.16791947134</v>
      </c>
      <c r="CC14" s="25">
        <f t="shared" si="48"/>
        <v>259868.39760000003</v>
      </c>
      <c r="CD14" s="25">
        <f t="shared" si="49"/>
        <v>109904.840491827</v>
      </c>
      <c r="CE14" s="25">
        <f t="shared" si="50"/>
        <v>450021.16652687843</v>
      </c>
      <c r="CF14" s="25">
        <f t="shared" si="51"/>
        <v>755322.59338222572</v>
      </c>
      <c r="CG14" s="43">
        <f t="shared" si="52"/>
        <v>4.0000000000000001E-3</v>
      </c>
      <c r="CH14" s="8">
        <f t="shared" si="25"/>
        <v>9251.5307440000015</v>
      </c>
      <c r="CI14" s="25">
        <f t="shared" si="53"/>
        <v>764936.72412622569</v>
      </c>
      <c r="CJ14" s="25">
        <f t="shared" si="54"/>
        <v>122389.87586019612</v>
      </c>
      <c r="CK14" s="25">
        <f t="shared" si="55"/>
        <v>61194.937930098058</v>
      </c>
      <c r="CL14" s="25">
        <f t="shared" si="56"/>
        <v>948521.5379165198</v>
      </c>
      <c r="CM14" s="47">
        <f t="shared" si="57"/>
        <v>1930925.2620834801</v>
      </c>
      <c r="CN14" s="41"/>
    </row>
    <row r="15" spans="1:93" x14ac:dyDescent="0.25">
      <c r="A15" s="40">
        <v>45657</v>
      </c>
      <c r="B15" s="40">
        <v>45688</v>
      </c>
      <c r="C15" s="8">
        <f t="shared" si="2"/>
        <v>31</v>
      </c>
      <c r="D15" s="8">
        <v>290568</v>
      </c>
      <c r="E15" s="8">
        <v>539148</v>
      </c>
      <c r="F15" s="8">
        <v>150493</v>
      </c>
      <c r="G15" s="8">
        <f t="shared" si="3"/>
        <v>980209</v>
      </c>
      <c r="H15" s="8">
        <v>1774</v>
      </c>
      <c r="I15" s="8">
        <v>1856</v>
      </c>
      <c r="J15" s="8">
        <v>1753</v>
      </c>
      <c r="K15" s="8">
        <v>1856</v>
      </c>
      <c r="L15" s="27">
        <f t="shared" si="26"/>
        <v>2311.3775702697603</v>
      </c>
      <c r="M15" s="8">
        <v>336846</v>
      </c>
      <c r="N15" s="8">
        <v>94.57</v>
      </c>
      <c r="O15" s="25">
        <v>368.95</v>
      </c>
      <c r="P15" s="25">
        <v>1.119</v>
      </c>
      <c r="Q15" s="25">
        <v>1.9995000000000001</v>
      </c>
      <c r="R15" s="25">
        <v>2.2803</v>
      </c>
      <c r="S15" s="25">
        <v>102.05</v>
      </c>
      <c r="T15" s="25">
        <v>421.46</v>
      </c>
      <c r="U15" s="31">
        <f t="shared" si="27"/>
        <v>1753</v>
      </c>
      <c r="V15" s="8">
        <f t="shared" si="28"/>
        <v>1856</v>
      </c>
      <c r="W15" s="25">
        <f t="shared" si="60"/>
        <v>325145.592</v>
      </c>
      <c r="X15" s="25">
        <f t="shared" si="61"/>
        <v>1078026.426</v>
      </c>
      <c r="Y15" s="25">
        <f t="shared" si="62"/>
        <v>343169.18790000002</v>
      </c>
      <c r="Z15" s="25">
        <f t="shared" si="63"/>
        <v>189404.79999999999</v>
      </c>
      <c r="AA15" s="25">
        <f t="shared" si="64"/>
        <v>738819.38</v>
      </c>
      <c r="AB15" s="25">
        <f t="shared" si="65"/>
        <v>2674565.3859000001</v>
      </c>
      <c r="AC15" s="43">
        <f t="shared" si="29"/>
        <v>3.0000000000000001E-3</v>
      </c>
      <c r="AD15" s="25">
        <f t="shared" si="66"/>
        <v>8024.8030077000012</v>
      </c>
      <c r="AE15" s="25">
        <f t="shared" si="67"/>
        <v>2682959.1389077003</v>
      </c>
      <c r="AF15" s="25">
        <f t="shared" si="30"/>
        <v>429273.46222523204</v>
      </c>
      <c r="AG15" s="25">
        <f t="shared" si="68"/>
        <v>214636.73111261602</v>
      </c>
      <c r="AH15" s="25">
        <f t="shared" si="69"/>
        <v>3326869.3322455483</v>
      </c>
      <c r="AI15" s="25">
        <v>3326870.11</v>
      </c>
      <c r="AJ15" s="8" t="s">
        <v>7</v>
      </c>
      <c r="AK15" s="8">
        <f>SUM(Hoja2!O369,Hoja2!O5:O34)</f>
        <v>242</v>
      </c>
      <c r="AL15" s="8">
        <f>SUM(Hoja2!P369,Hoja2!P5:P34)</f>
        <v>402</v>
      </c>
      <c r="AM15" s="8">
        <f>SUM(Hoja2!Q369,Hoja2!Q5:Q34)</f>
        <v>100</v>
      </c>
      <c r="AN15" s="8">
        <f>SUM(Hoja2!R369,Hoja2!R5:R34)</f>
        <v>52</v>
      </c>
      <c r="AO15" s="8">
        <f>SUM(Hoja2!S369,Hoja2!S5:S34)</f>
        <v>320</v>
      </c>
      <c r="AP15" s="8">
        <f t="shared" si="31"/>
        <v>372</v>
      </c>
      <c r="AQ15" s="42">
        <f t="shared" si="7"/>
        <v>62436.099173553717</v>
      </c>
      <c r="AR15" s="27">
        <f t="shared" si="8"/>
        <v>429172.53731343284</v>
      </c>
      <c r="AS15" s="27">
        <f t="shared" si="9"/>
        <v>491608.63648698654</v>
      </c>
      <c r="AT15" s="43">
        <f t="shared" si="32"/>
        <v>0.12700366620838743</v>
      </c>
      <c r="AU15" s="43">
        <f t="shared" si="33"/>
        <v>0.87299633379161257</v>
      </c>
      <c r="AV15" s="43">
        <f t="shared" si="10"/>
        <v>0.50153450589311721</v>
      </c>
      <c r="AW15" s="8">
        <v>4.5858999999999996</v>
      </c>
      <c r="AX15" s="8">
        <v>0.85</v>
      </c>
      <c r="AY15" s="8">
        <v>0.62</v>
      </c>
      <c r="AZ15" s="31">
        <f t="shared" si="11"/>
        <v>8111.7299859775621</v>
      </c>
      <c r="BA15" s="31">
        <f t="shared" si="12"/>
        <v>13084</v>
      </c>
      <c r="BB15" s="31">
        <f t="shared" si="13"/>
        <v>4461.7249979135377</v>
      </c>
      <c r="BC15" s="31">
        <f t="shared" si="14"/>
        <v>7197</v>
      </c>
      <c r="BD15" s="31">
        <f t="shared" si="15"/>
        <v>4068.3124904556394</v>
      </c>
      <c r="BE15" s="31">
        <f t="shared" si="16"/>
        <v>6562</v>
      </c>
      <c r="BF15" s="31">
        <f t="shared" si="34"/>
        <v>2827.2</v>
      </c>
      <c r="BG15" s="31">
        <f t="shared" si="17"/>
        <v>341634.50824799994</v>
      </c>
      <c r="BH15" s="31">
        <f t="shared" si="35"/>
        <v>43388.835050795569</v>
      </c>
      <c r="BI15" s="31">
        <f t="shared" si="36"/>
        <v>298245.67319720436</v>
      </c>
      <c r="BJ15" s="31">
        <f t="shared" si="18"/>
        <v>-149975</v>
      </c>
      <c r="BK15" s="31">
        <f t="shared" si="19"/>
        <v>247179.16494920442</v>
      </c>
      <c r="BL15" s="31">
        <f t="shared" si="20"/>
        <v>240902.32680279564</v>
      </c>
      <c r="BM15" s="31">
        <f t="shared" si="21"/>
        <v>638574.49175200006</v>
      </c>
      <c r="BN15" s="43">
        <f t="shared" si="22"/>
        <v>0.34853231121934192</v>
      </c>
      <c r="BO15" s="31">
        <f t="shared" si="58"/>
        <v>247179.16494920442</v>
      </c>
      <c r="BP15" s="31">
        <f t="shared" si="59"/>
        <v>240902.32680279564</v>
      </c>
      <c r="BQ15" s="8">
        <f t="shared" si="37"/>
        <v>150493</v>
      </c>
      <c r="BR15" s="31">
        <f t="shared" si="38"/>
        <v>638574.49175200006</v>
      </c>
      <c r="BS15" s="31">
        <f t="shared" si="39"/>
        <v>1505.7878036030941</v>
      </c>
      <c r="BT15" s="8">
        <f t="shared" si="23"/>
        <v>94.57</v>
      </c>
      <c r="BU15" s="25">
        <f t="shared" si="40"/>
        <v>368.95</v>
      </c>
      <c r="BV15" s="25">
        <f t="shared" si="41"/>
        <v>1.119</v>
      </c>
      <c r="BW15" s="25">
        <f t="shared" si="42"/>
        <v>1.9995000000000001</v>
      </c>
      <c r="BX15" s="25">
        <f t="shared" si="43"/>
        <v>2.2803</v>
      </c>
      <c r="BY15" s="25">
        <f t="shared" si="44"/>
        <v>102.05</v>
      </c>
      <c r="BZ15" s="25">
        <f t="shared" si="45"/>
        <v>421.46</v>
      </c>
      <c r="CA15" s="25">
        <f t="shared" si="46"/>
        <v>276593.48557815974</v>
      </c>
      <c r="CB15" s="25">
        <f t="shared" si="47"/>
        <v>481684.20244218991</v>
      </c>
      <c r="CC15" s="25">
        <f t="shared" si="48"/>
        <v>343169.18790000002</v>
      </c>
      <c r="CD15" s="25">
        <f t="shared" si="49"/>
        <v>153665.64535769576</v>
      </c>
      <c r="CE15" s="25">
        <f t="shared" si="50"/>
        <v>634629.32770656003</v>
      </c>
      <c r="CF15" s="25">
        <f t="shared" si="51"/>
        <v>1101446.8759203497</v>
      </c>
      <c r="CG15" s="43">
        <f t="shared" si="52"/>
        <v>3.0000000000000001E-3</v>
      </c>
      <c r="CH15" s="8">
        <f t="shared" si="25"/>
        <v>8024.8030077000012</v>
      </c>
      <c r="CI15" s="25">
        <f t="shared" si="53"/>
        <v>1109840.6289280497</v>
      </c>
      <c r="CJ15" s="25">
        <f t="shared" si="54"/>
        <v>177574.50062848796</v>
      </c>
      <c r="CK15" s="25">
        <f t="shared" si="55"/>
        <v>88787.250314243982</v>
      </c>
      <c r="CL15" s="25">
        <f t="shared" si="56"/>
        <v>1376202.3798707817</v>
      </c>
      <c r="CM15" s="47">
        <f t="shared" si="57"/>
        <v>1950667.7301292182</v>
      </c>
      <c r="CN15" s="41"/>
    </row>
    <row r="16" spans="1:93" x14ac:dyDescent="0.25">
      <c r="A16" s="40">
        <v>45688</v>
      </c>
      <c r="B16" s="40">
        <v>45716</v>
      </c>
      <c r="C16" s="8">
        <f t="shared" si="2"/>
        <v>28</v>
      </c>
      <c r="D16" s="8">
        <v>281455</v>
      </c>
      <c r="E16" s="8">
        <v>480769</v>
      </c>
      <c r="F16" s="8">
        <v>137541</v>
      </c>
      <c r="G16" s="8">
        <f t="shared" si="3"/>
        <v>899765</v>
      </c>
      <c r="H16" s="8">
        <v>1695</v>
      </c>
      <c r="I16" s="8">
        <v>1781</v>
      </c>
      <c r="J16" s="8">
        <v>1798</v>
      </c>
      <c r="K16" s="8">
        <v>1798</v>
      </c>
      <c r="L16" s="27">
        <f t="shared" si="26"/>
        <v>2349.010547201337</v>
      </c>
      <c r="M16" s="8">
        <v>320568</v>
      </c>
      <c r="N16" s="8">
        <v>94.2</v>
      </c>
      <c r="O16" s="25">
        <v>368.95</v>
      </c>
      <c r="P16" s="25">
        <v>1.1205000000000001</v>
      </c>
      <c r="Q16" s="25">
        <v>2.0024000000000002</v>
      </c>
      <c r="R16" s="25">
        <v>2.2835999999999999</v>
      </c>
      <c r="S16" s="25">
        <v>102.05</v>
      </c>
      <c r="T16" s="25">
        <v>422.13</v>
      </c>
      <c r="U16" s="31">
        <f t="shared" si="27"/>
        <v>1798</v>
      </c>
      <c r="V16" s="8">
        <f t="shared" si="28"/>
        <v>1798</v>
      </c>
      <c r="W16" s="25">
        <f t="shared" si="60"/>
        <v>315370.32750000001</v>
      </c>
      <c r="X16" s="25">
        <f t="shared" si="61"/>
        <v>962691.84560000012</v>
      </c>
      <c r="Y16" s="25">
        <f t="shared" si="62"/>
        <v>314088.62760000001</v>
      </c>
      <c r="Z16" s="25">
        <f t="shared" si="63"/>
        <v>183485.9</v>
      </c>
      <c r="AA16" s="25">
        <f t="shared" si="64"/>
        <v>758989.74</v>
      </c>
      <c r="AB16" s="25">
        <f t="shared" si="65"/>
        <v>2534626.4407000002</v>
      </c>
      <c r="AC16" s="43">
        <f t="shared" si="29"/>
        <v>5.0000000000000001E-3</v>
      </c>
      <c r="AD16" s="25">
        <f t="shared" si="66"/>
        <v>12674.976953500001</v>
      </c>
      <c r="AE16" s="25">
        <f t="shared" si="67"/>
        <v>2547670.3676535003</v>
      </c>
      <c r="AF16" s="25">
        <f t="shared" si="30"/>
        <v>407627.25882456003</v>
      </c>
      <c r="AG16" s="25">
        <f t="shared" si="68"/>
        <v>203813.62941228002</v>
      </c>
      <c r="AH16" s="25">
        <f t="shared" si="69"/>
        <v>3159111.2558903401</v>
      </c>
      <c r="AI16" s="25">
        <v>3159111.38</v>
      </c>
      <c r="AJ16" s="8" t="s">
        <v>7</v>
      </c>
      <c r="AK16" s="8">
        <f>SUM(Hoja2!O35:O62)</f>
        <v>224</v>
      </c>
      <c r="AL16" s="8">
        <f>SUM(Hoja2!P35:P62)</f>
        <v>360</v>
      </c>
      <c r="AM16" s="8">
        <f>SUM(Hoja2!Q35:Q62)</f>
        <v>88</v>
      </c>
      <c r="AN16" s="8">
        <f>SUM(Hoja2!R35:R62)</f>
        <v>52</v>
      </c>
      <c r="AO16" s="8">
        <f>SUM(Hoja2!S35:S62)</f>
        <v>284</v>
      </c>
      <c r="AP16" s="8">
        <f t="shared" si="31"/>
        <v>336</v>
      </c>
      <c r="AQ16" s="42">
        <f t="shared" si="7"/>
        <v>65337.767857142855</v>
      </c>
      <c r="AR16" s="27">
        <f t="shared" si="8"/>
        <v>379273.32222222222</v>
      </c>
      <c r="AS16" s="27">
        <f t="shared" si="9"/>
        <v>444611.09007936507</v>
      </c>
      <c r="AT16" s="43">
        <f t="shared" si="32"/>
        <v>0.14695487655397838</v>
      </c>
      <c r="AU16" s="43">
        <f t="shared" si="33"/>
        <v>0.85304512344602168</v>
      </c>
      <c r="AV16" s="43">
        <f t="shared" si="10"/>
        <v>0.49414134810685573</v>
      </c>
      <c r="AW16" s="8">
        <v>6.0035999999999996</v>
      </c>
      <c r="AX16" s="8">
        <v>0.85</v>
      </c>
      <c r="AY16" s="8">
        <v>0.62</v>
      </c>
      <c r="AZ16" s="31">
        <f t="shared" si="11"/>
        <v>6297.0970918849262</v>
      </c>
      <c r="BA16" s="31">
        <f t="shared" si="12"/>
        <v>10157</v>
      </c>
      <c r="BB16" s="31">
        <f t="shared" si="13"/>
        <v>3364.7108653575365</v>
      </c>
      <c r="BC16" s="31">
        <f t="shared" si="14"/>
        <v>5427</v>
      </c>
      <c r="BD16" s="31">
        <f t="shared" si="15"/>
        <v>3111.6560461437784</v>
      </c>
      <c r="BE16" s="31">
        <f t="shared" si="16"/>
        <v>5019</v>
      </c>
      <c r="BF16" s="31">
        <f t="shared" si="34"/>
        <v>2827.2</v>
      </c>
      <c r="BG16" s="31">
        <f t="shared" si="17"/>
        <v>403966.39449599991</v>
      </c>
      <c r="BH16" s="31">
        <f t="shared" si="35"/>
        <v>59364.831635115399</v>
      </c>
      <c r="BI16" s="31">
        <f t="shared" si="36"/>
        <v>344601.56286088453</v>
      </c>
      <c r="BJ16" s="31">
        <f t="shared" si="18"/>
        <v>-40645</v>
      </c>
      <c r="BK16" s="31">
        <f t="shared" si="19"/>
        <v>222090.16836488459</v>
      </c>
      <c r="BL16" s="31">
        <f t="shared" si="20"/>
        <v>136167.43713911547</v>
      </c>
      <c r="BM16" s="31">
        <f t="shared" si="21"/>
        <v>495798.60550400009</v>
      </c>
      <c r="BN16" s="43">
        <f t="shared" si="22"/>
        <v>0.44896878017704611</v>
      </c>
      <c r="BO16" s="31">
        <f t="shared" si="58"/>
        <v>222090.16836488459</v>
      </c>
      <c r="BP16" s="31">
        <f t="shared" si="59"/>
        <v>136167.43713911547</v>
      </c>
      <c r="BQ16" s="8">
        <f t="shared" si="37"/>
        <v>137541</v>
      </c>
      <c r="BR16" s="31">
        <f t="shared" si="38"/>
        <v>495798.60550400009</v>
      </c>
      <c r="BS16" s="31">
        <f t="shared" si="39"/>
        <v>1294.378147201337</v>
      </c>
      <c r="BT16" s="8">
        <f t="shared" si="23"/>
        <v>94.2</v>
      </c>
      <c r="BU16" s="25">
        <f t="shared" si="40"/>
        <v>368.95</v>
      </c>
      <c r="BV16" s="25">
        <f t="shared" si="41"/>
        <v>1.1205000000000001</v>
      </c>
      <c r="BW16" s="25">
        <f t="shared" si="42"/>
        <v>2.0024000000000002</v>
      </c>
      <c r="BX16" s="25">
        <f t="shared" si="43"/>
        <v>2.2835999999999999</v>
      </c>
      <c r="BY16" s="25">
        <f t="shared" si="44"/>
        <v>102.05</v>
      </c>
      <c r="BZ16" s="25">
        <f t="shared" si="45"/>
        <v>422.13</v>
      </c>
      <c r="CA16" s="25">
        <f t="shared" si="46"/>
        <v>248852.03365285319</v>
      </c>
      <c r="CB16" s="25">
        <f t="shared" si="47"/>
        <v>272661.67612736486</v>
      </c>
      <c r="CC16" s="25">
        <f t="shared" si="48"/>
        <v>314088.62760000001</v>
      </c>
      <c r="CD16" s="25">
        <f t="shared" si="49"/>
        <v>132091.28992189644</v>
      </c>
      <c r="CE16" s="25">
        <f t="shared" si="50"/>
        <v>546395.84727810044</v>
      </c>
      <c r="CF16" s="25">
        <f t="shared" si="51"/>
        <v>835602.33738021809</v>
      </c>
      <c r="CG16" s="43">
        <f t="shared" si="52"/>
        <v>5.0000000000000001E-3</v>
      </c>
      <c r="CH16" s="8">
        <f t="shared" si="25"/>
        <v>12674.976953500001</v>
      </c>
      <c r="CI16" s="25">
        <f t="shared" si="53"/>
        <v>848646.26433371799</v>
      </c>
      <c r="CJ16" s="25">
        <f t="shared" si="54"/>
        <v>135783.40229339487</v>
      </c>
      <c r="CK16" s="25">
        <f t="shared" si="55"/>
        <v>67891.701146697436</v>
      </c>
      <c r="CL16" s="25">
        <f t="shared" si="56"/>
        <v>1052321.3677738104</v>
      </c>
      <c r="CM16" s="47">
        <f t="shared" si="57"/>
        <v>2106790.0122261895</v>
      </c>
      <c r="CN16" s="41"/>
    </row>
    <row r="17" spans="1:92" x14ac:dyDescent="0.25">
      <c r="A17" s="40">
        <v>45716</v>
      </c>
      <c r="B17" s="40">
        <v>45747</v>
      </c>
      <c r="C17" s="8">
        <f t="shared" si="2"/>
        <v>31</v>
      </c>
      <c r="D17" s="8">
        <v>315921</v>
      </c>
      <c r="E17" s="8">
        <v>524576</v>
      </c>
      <c r="F17" s="8">
        <v>145990</v>
      </c>
      <c r="G17" s="8">
        <f t="shared" si="3"/>
        <v>986487</v>
      </c>
      <c r="H17" s="8">
        <v>1692</v>
      </c>
      <c r="I17" s="8">
        <v>1805</v>
      </c>
      <c r="J17" s="8">
        <v>1811</v>
      </c>
      <c r="K17" s="8">
        <v>1811</v>
      </c>
      <c r="L17" s="27">
        <f t="shared" si="26"/>
        <v>2326.1813808715337</v>
      </c>
      <c r="M17" s="8">
        <v>364109</v>
      </c>
      <c r="N17" s="8">
        <v>93.81</v>
      </c>
      <c r="O17" s="25">
        <v>368.95</v>
      </c>
      <c r="P17" s="25">
        <v>1.1209</v>
      </c>
      <c r="Q17" s="25">
        <v>2.0032000000000001</v>
      </c>
      <c r="R17" s="25">
        <v>2.2845</v>
      </c>
      <c r="S17" s="25">
        <v>102.05</v>
      </c>
      <c r="T17" s="25">
        <v>422.31</v>
      </c>
      <c r="U17" s="31">
        <f t="shared" si="27"/>
        <v>1811</v>
      </c>
      <c r="V17" s="8">
        <f t="shared" si="28"/>
        <v>1811</v>
      </c>
      <c r="W17" s="25">
        <f t="shared" si="60"/>
        <v>354115.84889999998</v>
      </c>
      <c r="X17" s="25">
        <f t="shared" si="61"/>
        <v>1050830.6432</v>
      </c>
      <c r="Y17" s="25">
        <f t="shared" si="62"/>
        <v>333514.15499999997</v>
      </c>
      <c r="Z17" s="25">
        <f t="shared" si="63"/>
        <v>184812.55</v>
      </c>
      <c r="AA17" s="25">
        <f t="shared" si="64"/>
        <v>764803.41</v>
      </c>
      <c r="AB17" s="25">
        <f t="shared" si="65"/>
        <v>2688076.6071000001</v>
      </c>
      <c r="AC17" s="43">
        <f t="shared" si="29"/>
        <v>8.0000000000000002E-3</v>
      </c>
      <c r="AD17" s="25">
        <f t="shared" si="66"/>
        <v>21507.564456800003</v>
      </c>
      <c r="AE17" s="25">
        <f t="shared" si="67"/>
        <v>2709953.1215568003</v>
      </c>
      <c r="AF17" s="25">
        <f t="shared" si="30"/>
        <v>433592.49944908806</v>
      </c>
      <c r="AG17" s="25">
        <f t="shared" si="68"/>
        <v>216796.24972454403</v>
      </c>
      <c r="AH17" s="25">
        <f t="shared" si="69"/>
        <v>3360341.8707304327</v>
      </c>
      <c r="AI17" s="25">
        <v>3360342.25</v>
      </c>
      <c r="AJ17" s="8" t="s">
        <v>7</v>
      </c>
      <c r="AK17" s="8">
        <f>SUM(Hoja2!O63:O93)</f>
        <v>256</v>
      </c>
      <c r="AL17" s="8">
        <f>SUM(Hoja2!P63:P93)</f>
        <v>394</v>
      </c>
      <c r="AM17" s="8">
        <f>SUM(Hoja2!Q63:Q93)</f>
        <v>94</v>
      </c>
      <c r="AN17" s="8">
        <f>SUM(Hoja2!R63:R93)</f>
        <v>65</v>
      </c>
      <c r="AO17" s="8">
        <f>SUM(Hoja2!S63:S93)</f>
        <v>307</v>
      </c>
      <c r="AP17" s="8">
        <f t="shared" si="31"/>
        <v>372</v>
      </c>
      <c r="AQ17" s="42">
        <f t="shared" si="7"/>
        <v>80214.31640625</v>
      </c>
      <c r="AR17" s="27">
        <f t="shared" si="8"/>
        <v>408743.22842639592</v>
      </c>
      <c r="AS17" s="27">
        <f t="shared" si="9"/>
        <v>488957.54483264592</v>
      </c>
      <c r="AT17" s="43">
        <f t="shared" si="32"/>
        <v>0.16405169989493612</v>
      </c>
      <c r="AU17" s="43">
        <f t="shared" si="33"/>
        <v>0.83594830010506394</v>
      </c>
      <c r="AV17" s="43">
        <f t="shared" si="10"/>
        <v>0.49565533537963086</v>
      </c>
      <c r="AW17" s="8">
        <v>7.3810000000000002</v>
      </c>
      <c r="AX17" s="8">
        <v>0.85</v>
      </c>
      <c r="AY17" s="8">
        <v>0.62</v>
      </c>
      <c r="AZ17" s="31">
        <f t="shared" si="11"/>
        <v>5072.1903281593568</v>
      </c>
      <c r="BA17" s="31">
        <f t="shared" si="12"/>
        <v>8181</v>
      </c>
      <c r="BB17" s="31">
        <f t="shared" si="13"/>
        <v>2697.1965302984459</v>
      </c>
      <c r="BC17" s="31">
        <f t="shared" si="14"/>
        <v>4351</v>
      </c>
      <c r="BD17" s="31">
        <f t="shared" si="15"/>
        <v>2514.0581982131457</v>
      </c>
      <c r="BE17" s="31">
        <f t="shared" si="16"/>
        <v>4055</v>
      </c>
      <c r="BF17" s="31">
        <f t="shared" si="34"/>
        <v>2827.2</v>
      </c>
      <c r="BG17" s="31">
        <f t="shared" si="17"/>
        <v>549860.29032000003</v>
      </c>
      <c r="BH17" s="31">
        <f t="shared" si="35"/>
        <v>90205.5153317191</v>
      </c>
      <c r="BI17" s="31">
        <f t="shared" si="36"/>
        <v>459654.77498828096</v>
      </c>
      <c r="BJ17" s="31">
        <f t="shared" si="18"/>
        <v>60903</v>
      </c>
      <c r="BK17" s="31">
        <f t="shared" si="19"/>
        <v>225715.4846682809</v>
      </c>
      <c r="BL17" s="31">
        <f t="shared" si="20"/>
        <v>64921.225011719042</v>
      </c>
      <c r="BM17" s="31">
        <f t="shared" si="21"/>
        <v>497529.70967999997</v>
      </c>
      <c r="BN17" s="43">
        <f t="shared" si="22"/>
        <v>0.49565507738064468</v>
      </c>
      <c r="BO17" s="31">
        <f t="shared" si="58"/>
        <v>225715.4846682809</v>
      </c>
      <c r="BP17" s="31">
        <f t="shared" si="59"/>
        <v>64921.225011719042</v>
      </c>
      <c r="BQ17" s="8">
        <f t="shared" si="37"/>
        <v>145990</v>
      </c>
      <c r="BR17" s="31">
        <f t="shared" si="38"/>
        <v>436626.70967999997</v>
      </c>
      <c r="BS17" s="31">
        <f t="shared" si="39"/>
        <v>1029.5857142048669</v>
      </c>
      <c r="BT17" s="8">
        <f t="shared" si="23"/>
        <v>93.81</v>
      </c>
      <c r="BU17" s="25">
        <f t="shared" si="40"/>
        <v>368.95</v>
      </c>
      <c r="BV17" s="25">
        <f t="shared" si="41"/>
        <v>1.1209</v>
      </c>
      <c r="BW17" s="25">
        <f t="shared" si="42"/>
        <v>2.0032000000000001</v>
      </c>
      <c r="BX17" s="25">
        <f t="shared" si="43"/>
        <v>2.2845</v>
      </c>
      <c r="BY17" s="25">
        <f t="shared" si="44"/>
        <v>102.05</v>
      </c>
      <c r="BZ17" s="25">
        <f t="shared" si="45"/>
        <v>422.31</v>
      </c>
      <c r="CA17" s="25">
        <f t="shared" si="46"/>
        <v>253004.48676467605</v>
      </c>
      <c r="CB17" s="25">
        <f t="shared" si="47"/>
        <v>130050.19794347559</v>
      </c>
      <c r="CC17" s="25">
        <f t="shared" si="48"/>
        <v>333514.15499999997</v>
      </c>
      <c r="CD17" s="25">
        <f t="shared" si="49"/>
        <v>105069.22213460667</v>
      </c>
      <c r="CE17" s="25">
        <f t="shared" si="50"/>
        <v>434804.34296585736</v>
      </c>
      <c r="CF17" s="25">
        <f t="shared" si="51"/>
        <v>716568.83970815153</v>
      </c>
      <c r="CG17" s="43">
        <f t="shared" si="52"/>
        <v>8.0000000000000002E-3</v>
      </c>
      <c r="CH17" s="8">
        <f t="shared" si="25"/>
        <v>21507.564456800003</v>
      </c>
      <c r="CI17" s="25">
        <f t="shared" si="53"/>
        <v>738445.35416495148</v>
      </c>
      <c r="CJ17" s="25">
        <f t="shared" si="54"/>
        <v>118151.25666639223</v>
      </c>
      <c r="CK17" s="25">
        <f t="shared" si="55"/>
        <v>59075.628333196117</v>
      </c>
      <c r="CL17" s="25">
        <f t="shared" si="56"/>
        <v>915672.23916453985</v>
      </c>
      <c r="CM17" s="47">
        <f t="shared" si="57"/>
        <v>2444670.0108354604</v>
      </c>
      <c r="CN17" s="41"/>
    </row>
    <row r="18" spans="1:92" x14ac:dyDescent="0.25">
      <c r="A18" s="40">
        <v>45747</v>
      </c>
      <c r="B18" s="40">
        <v>45777</v>
      </c>
      <c r="C18" s="8">
        <f t="shared" si="2"/>
        <v>30</v>
      </c>
      <c r="D18" s="8">
        <v>229333</v>
      </c>
      <c r="E18" s="8">
        <v>467943</v>
      </c>
      <c r="F18" s="8">
        <v>56501</v>
      </c>
      <c r="G18" s="8">
        <f t="shared" si="3"/>
        <v>753777</v>
      </c>
      <c r="H18" s="8">
        <v>1759</v>
      </c>
      <c r="I18" s="8">
        <v>1539</v>
      </c>
      <c r="J18" s="8">
        <v>1810</v>
      </c>
      <c r="K18" s="8">
        <v>2199</v>
      </c>
      <c r="L18" s="27">
        <f t="shared" si="26"/>
        <v>1836.6885964912283</v>
      </c>
      <c r="M18" s="8">
        <v>378000</v>
      </c>
      <c r="N18" s="8">
        <v>93.14</v>
      </c>
      <c r="O18" s="25">
        <v>368.95</v>
      </c>
      <c r="P18" s="25">
        <v>1.1209</v>
      </c>
      <c r="Q18" s="25">
        <v>2.0032000000000001</v>
      </c>
      <c r="R18" s="25">
        <v>2.2845</v>
      </c>
      <c r="S18" s="25">
        <v>102.05</v>
      </c>
      <c r="T18" s="25">
        <v>422.31</v>
      </c>
      <c r="U18" s="31">
        <f t="shared" si="27"/>
        <v>1810</v>
      </c>
      <c r="V18" s="8">
        <f t="shared" si="28"/>
        <v>1836.6885964912283</v>
      </c>
      <c r="W18" s="25">
        <f t="shared" si="60"/>
        <v>257059.3597</v>
      </c>
      <c r="X18" s="25">
        <f t="shared" si="61"/>
        <v>937383.41760000004</v>
      </c>
      <c r="Y18" s="25">
        <f t="shared" si="62"/>
        <v>129076.53449999999</v>
      </c>
      <c r="Z18" s="25">
        <f t="shared" si="63"/>
        <v>187434.07127192983</v>
      </c>
      <c r="AA18" s="25">
        <f t="shared" si="64"/>
        <v>764381.1</v>
      </c>
      <c r="AB18" s="25">
        <f t="shared" si="65"/>
        <v>2275334.4830719298</v>
      </c>
      <c r="AC18" s="43">
        <f t="shared" si="29"/>
        <v>1.2E-2</v>
      </c>
      <c r="AD18" s="25">
        <f t="shared" si="66"/>
        <v>27308.441196863161</v>
      </c>
      <c r="AE18" s="25">
        <f t="shared" si="67"/>
        <v>2303011.874268793</v>
      </c>
      <c r="AF18" s="25">
        <f t="shared" si="30"/>
        <v>368481.89988300687</v>
      </c>
      <c r="AG18" s="25">
        <f t="shared" si="68"/>
        <v>184240.94994150344</v>
      </c>
      <c r="AH18" s="25">
        <f t="shared" si="69"/>
        <v>2855734.7240933031</v>
      </c>
      <c r="AI18" s="25">
        <v>3159586.64</v>
      </c>
      <c r="AJ18" s="8" t="s">
        <v>7</v>
      </c>
      <c r="AK18" s="8">
        <f>SUM(Hoja2!O94:O123)</f>
        <v>237</v>
      </c>
      <c r="AL18" s="8">
        <f>SUM(Hoja2!P94:P123)</f>
        <v>427</v>
      </c>
      <c r="AM18" s="8">
        <f>SUM(Hoja2!Q94:Q123)</f>
        <v>56</v>
      </c>
      <c r="AN18" s="8">
        <f>SUM(Hoja2!R94:R123)</f>
        <v>49</v>
      </c>
      <c r="AO18" s="8">
        <f>SUM(Hoja2!S94:S123)</f>
        <v>311</v>
      </c>
      <c r="AP18" s="8">
        <f t="shared" si="31"/>
        <v>360</v>
      </c>
      <c r="AQ18" s="42">
        <f t="shared" si="7"/>
        <v>47414.839662447259</v>
      </c>
      <c r="AR18" s="27">
        <f t="shared" si="8"/>
        <v>340820.31147540984</v>
      </c>
      <c r="AS18" s="27">
        <f t="shared" si="9"/>
        <v>388235.15113785712</v>
      </c>
      <c r="AT18" s="43">
        <f t="shared" si="32"/>
        <v>0.12212917744176875</v>
      </c>
      <c r="AU18" s="43">
        <f t="shared" si="33"/>
        <v>0.87787082255823123</v>
      </c>
      <c r="AV18" s="43">
        <f t="shared" si="10"/>
        <v>0.51505306096877079</v>
      </c>
      <c r="AW18" s="8">
        <v>7.8587999999999996</v>
      </c>
      <c r="AX18" s="8">
        <v>0.85</v>
      </c>
      <c r="AY18" s="8">
        <v>0.62</v>
      </c>
      <c r="AZ18" s="31">
        <f t="shared" si="11"/>
        <v>3761.3735370465183</v>
      </c>
      <c r="BA18" s="31">
        <f t="shared" si="12"/>
        <v>6067</v>
      </c>
      <c r="BB18" s="31">
        <f t="shared" si="13"/>
        <v>2335.0519013529984</v>
      </c>
      <c r="BC18" s="31">
        <f t="shared" si="14"/>
        <v>3767</v>
      </c>
      <c r="BD18" s="31">
        <f t="shared" si="15"/>
        <v>1937.3069537027413</v>
      </c>
      <c r="BE18" s="31">
        <f t="shared" si="16"/>
        <v>3125</v>
      </c>
      <c r="BF18" s="31">
        <f t="shared" si="34"/>
        <v>2827.2</v>
      </c>
      <c r="BG18" s="31">
        <f t="shared" si="17"/>
        <v>566569.18368000002</v>
      </c>
      <c r="BH18" s="31">
        <f t="shared" si="35"/>
        <v>69194.628366692792</v>
      </c>
      <c r="BI18" s="31">
        <f>BG18*AU18</f>
        <v>497374.55531330721</v>
      </c>
      <c r="BJ18" s="31">
        <f t="shared" si="18"/>
        <v>178335</v>
      </c>
      <c r="BK18" s="31">
        <f t="shared" si="19"/>
        <v>160138.37163330719</v>
      </c>
      <c r="BL18" s="31">
        <f t="shared" si="20"/>
        <v>-29431.55531330721</v>
      </c>
      <c r="BM18" s="31">
        <f t="shared" si="21"/>
        <v>365542.81631999998</v>
      </c>
      <c r="BN18" s="43">
        <f t="shared" si="22"/>
        <v>0.51505177748856756</v>
      </c>
      <c r="BO18" s="31">
        <f t="shared" si="58"/>
        <v>160138.37163330719</v>
      </c>
      <c r="BP18" s="31">
        <f t="shared" si="59"/>
        <v>-29431.55531330721</v>
      </c>
      <c r="BQ18" s="8">
        <f t="shared" si="37"/>
        <v>56501</v>
      </c>
      <c r="BR18" s="31">
        <f t="shared" si="38"/>
        <v>187207.81631999998</v>
      </c>
      <c r="BS18" s="31">
        <f t="shared" si="39"/>
        <v>456.15939649122805</v>
      </c>
      <c r="BT18" s="8">
        <f t="shared" si="23"/>
        <v>93.14</v>
      </c>
      <c r="BU18" s="25">
        <f t="shared" si="40"/>
        <v>368.95</v>
      </c>
      <c r="BV18" s="25">
        <f t="shared" si="41"/>
        <v>1.1209</v>
      </c>
      <c r="BW18" s="25">
        <f t="shared" si="42"/>
        <v>2.0032000000000001</v>
      </c>
      <c r="BX18" s="25">
        <f t="shared" si="43"/>
        <v>2.2845</v>
      </c>
      <c r="BY18" s="25">
        <f t="shared" si="44"/>
        <v>102.05</v>
      </c>
      <c r="BZ18" s="25">
        <f t="shared" si="45"/>
        <v>422.31</v>
      </c>
      <c r="CA18" s="25">
        <f t="shared" si="46"/>
        <v>179499.10076377404</v>
      </c>
      <c r="CB18" s="25">
        <f t="shared" si="47"/>
        <v>-58957.291603617006</v>
      </c>
      <c r="CC18" s="25">
        <f t="shared" si="48"/>
        <v>129076.53449999999</v>
      </c>
      <c r="CD18" s="25">
        <f t="shared" si="49"/>
        <v>46551.066411929824</v>
      </c>
      <c r="CE18" s="25">
        <f t="shared" si="50"/>
        <v>192640.67473221052</v>
      </c>
      <c r="CF18" s="25">
        <f t="shared" si="51"/>
        <v>249618.34366015703</v>
      </c>
      <c r="CG18" s="43">
        <f t="shared" si="52"/>
        <v>1.2E-2</v>
      </c>
      <c r="CH18" s="8">
        <f t="shared" si="25"/>
        <v>27308.441196863161</v>
      </c>
      <c r="CI18" s="25">
        <f t="shared" si="53"/>
        <v>277295.7348570202</v>
      </c>
      <c r="CJ18" s="25">
        <f t="shared" si="54"/>
        <v>44367.317577123235</v>
      </c>
      <c r="CK18" s="25">
        <f t="shared" si="55"/>
        <v>22183.658788561617</v>
      </c>
      <c r="CL18" s="25">
        <f t="shared" si="56"/>
        <v>343846.71122270508</v>
      </c>
      <c r="CM18" s="47">
        <f t="shared" si="57"/>
        <v>2815739.9287772952</v>
      </c>
      <c r="CN18" s="41"/>
    </row>
    <row r="19" spans="1:92" x14ac:dyDescent="0.25">
      <c r="A19" s="40">
        <v>45777</v>
      </c>
      <c r="B19" s="40">
        <v>45808</v>
      </c>
      <c r="C19" s="8">
        <f t="shared" si="2"/>
        <v>31</v>
      </c>
      <c r="D19" s="8">
        <v>314014</v>
      </c>
      <c r="E19" s="8">
        <v>631629</v>
      </c>
      <c r="F19" s="8">
        <v>71617</v>
      </c>
      <c r="G19" s="8">
        <f t="shared" si="3"/>
        <v>1017260</v>
      </c>
      <c r="H19" s="8">
        <v>1629</v>
      </c>
      <c r="I19" s="8">
        <v>1850</v>
      </c>
      <c r="J19" s="8">
        <v>1830</v>
      </c>
      <c r="K19" s="8">
        <v>1850</v>
      </c>
      <c r="L19" s="27">
        <f t="shared" si="26"/>
        <v>2398.7455197132617</v>
      </c>
      <c r="M19" s="8">
        <v>389248</v>
      </c>
      <c r="N19" s="8">
        <v>93.4</v>
      </c>
      <c r="O19" s="25">
        <v>368.95</v>
      </c>
      <c r="P19" s="25">
        <v>1.1209</v>
      </c>
      <c r="Q19" s="25">
        <v>2.0032000000000001</v>
      </c>
      <c r="R19" s="25">
        <v>2.2845</v>
      </c>
      <c r="S19" s="25">
        <v>102.05</v>
      </c>
      <c r="T19" s="25">
        <v>422.31</v>
      </c>
      <c r="U19" s="31">
        <f t="shared" si="27"/>
        <v>1830</v>
      </c>
      <c r="V19" s="8">
        <f t="shared" si="28"/>
        <v>1850</v>
      </c>
      <c r="W19" s="25">
        <f t="shared" si="60"/>
        <v>351978.29259999999</v>
      </c>
      <c r="X19" s="25">
        <f t="shared" si="61"/>
        <v>1265279.2128000001</v>
      </c>
      <c r="Y19" s="25">
        <f t="shared" si="62"/>
        <v>163609.03649999999</v>
      </c>
      <c r="Z19" s="25">
        <f t="shared" si="63"/>
        <v>188792.5</v>
      </c>
      <c r="AA19" s="25">
        <f t="shared" si="64"/>
        <v>772827.3</v>
      </c>
      <c r="AB19" s="25">
        <f t="shared" si="65"/>
        <v>2742486.3419000003</v>
      </c>
      <c r="AC19" s="43">
        <f t="shared" si="29"/>
        <v>0.01</v>
      </c>
      <c r="AD19" s="25">
        <f t="shared" si="66"/>
        <v>27428.552919000005</v>
      </c>
      <c r="AE19" s="25">
        <f t="shared" si="67"/>
        <v>2770283.8448190005</v>
      </c>
      <c r="AF19" s="25">
        <f t="shared" si="30"/>
        <v>443245.41517104011</v>
      </c>
      <c r="AG19" s="25">
        <f t="shared" si="68"/>
        <v>221622.70758552005</v>
      </c>
      <c r="AH19" s="25">
        <f t="shared" si="69"/>
        <v>3435151.9675755608</v>
      </c>
      <c r="AI19" s="25">
        <v>3435152.63</v>
      </c>
      <c r="AJ19" s="8" t="s">
        <v>7</v>
      </c>
      <c r="AK19" s="8">
        <f>SUM(Hoja2!O124:O154)</f>
        <v>242</v>
      </c>
      <c r="AL19" s="8">
        <f>SUM(Hoja2!P124:P154)</f>
        <v>456</v>
      </c>
      <c r="AM19" s="8">
        <f>SUM(Hoja2!Q124:Q154)</f>
        <v>46</v>
      </c>
      <c r="AN19" s="8">
        <f>SUM(Hoja2!R124:R154)</f>
        <v>48</v>
      </c>
      <c r="AO19" s="8">
        <f>SUM(Hoja2!S124:S154)</f>
        <v>324</v>
      </c>
      <c r="AP19" s="8">
        <f t="shared" si="31"/>
        <v>372</v>
      </c>
      <c r="AQ19" s="42">
        <f t="shared" si="7"/>
        <v>62283.768595041322</v>
      </c>
      <c r="AR19" s="27">
        <f t="shared" si="8"/>
        <v>448789.0263157895</v>
      </c>
      <c r="AS19" s="27">
        <f t="shared" si="9"/>
        <v>511072.79491083079</v>
      </c>
      <c r="AT19" s="43">
        <f t="shared" si="32"/>
        <v>0.12186868331723322</v>
      </c>
      <c r="AU19" s="43">
        <f t="shared" si="33"/>
        <v>0.87813131668276678</v>
      </c>
      <c r="AV19" s="43">
        <f t="shared" si="10"/>
        <v>0.50240134765038513</v>
      </c>
      <c r="AW19" s="8">
        <v>7.4322999999999997</v>
      </c>
      <c r="AX19" s="8">
        <v>0.85</v>
      </c>
      <c r="AY19" s="8">
        <v>0.62</v>
      </c>
      <c r="AZ19" s="31">
        <f t="shared" si="11"/>
        <v>5194.3130120716996</v>
      </c>
      <c r="BA19" s="31">
        <f t="shared" si="12"/>
        <v>8378</v>
      </c>
      <c r="BB19" s="31">
        <f t="shared" si="13"/>
        <v>3225.2115816033615</v>
      </c>
      <c r="BC19" s="31">
        <f t="shared" si="14"/>
        <v>5202</v>
      </c>
      <c r="BD19" s="31">
        <f t="shared" si="15"/>
        <v>2609.629857382753</v>
      </c>
      <c r="BE19" s="31">
        <f t="shared" si="16"/>
        <v>4210</v>
      </c>
      <c r="BF19" s="31">
        <f t="shared" si="34"/>
        <v>2827.2</v>
      </c>
      <c r="BG19" s="31">
        <f t="shared" si="17"/>
        <v>553681.97205600003</v>
      </c>
      <c r="BH19" s="31">
        <f t="shared" si="35"/>
        <v>67476.492910953835</v>
      </c>
      <c r="BI19" s="31">
        <f t="shared" si="36"/>
        <v>486205.47914504621</v>
      </c>
      <c r="BJ19" s="31">
        <f t="shared" si="18"/>
        <v>42610</v>
      </c>
      <c r="BK19" s="31">
        <f t="shared" si="19"/>
        <v>246537.50708904618</v>
      </c>
      <c r="BL19" s="31">
        <f t="shared" si="20"/>
        <v>145423.52085495379</v>
      </c>
      <c r="BM19" s="31">
        <f t="shared" si="21"/>
        <v>506188.02794399997</v>
      </c>
      <c r="BN19" s="43">
        <f t="shared" si="22"/>
        <v>0.50240053875705326</v>
      </c>
      <c r="BO19" s="31">
        <f t="shared" si="58"/>
        <v>246537.50708904618</v>
      </c>
      <c r="BP19" s="31">
        <f t="shared" si="59"/>
        <v>145423.52085495379</v>
      </c>
      <c r="BQ19" s="8">
        <f t="shared" si="37"/>
        <v>71617</v>
      </c>
      <c r="BR19" s="31">
        <f t="shared" si="38"/>
        <v>463578.02794399997</v>
      </c>
      <c r="BS19" s="31">
        <f t="shared" si="39"/>
        <v>1093.1381530465949</v>
      </c>
      <c r="BT19" s="8">
        <f t="shared" si="23"/>
        <v>93.4</v>
      </c>
      <c r="BU19" s="25">
        <f t="shared" si="40"/>
        <v>368.95</v>
      </c>
      <c r="BV19" s="25">
        <f t="shared" si="41"/>
        <v>1.1209</v>
      </c>
      <c r="BW19" s="25">
        <f t="shared" si="42"/>
        <v>2.0032000000000001</v>
      </c>
      <c r="BX19" s="25">
        <f t="shared" si="43"/>
        <v>2.2845</v>
      </c>
      <c r="BY19" s="25">
        <f t="shared" si="44"/>
        <v>102.05</v>
      </c>
      <c r="BZ19" s="25">
        <f t="shared" si="45"/>
        <v>422.31</v>
      </c>
      <c r="CA19" s="25">
        <f t="shared" si="46"/>
        <v>276343.89169611188</v>
      </c>
      <c r="CB19" s="25">
        <f t="shared" si="47"/>
        <v>291312.39697664347</v>
      </c>
      <c r="CC19" s="25">
        <f t="shared" si="48"/>
        <v>163609.03649999999</v>
      </c>
      <c r="CD19" s="25">
        <f t="shared" si="49"/>
        <v>111554.748518405</v>
      </c>
      <c r="CE19" s="25">
        <f t="shared" si="50"/>
        <v>461643.17341310746</v>
      </c>
      <c r="CF19" s="25">
        <f t="shared" si="51"/>
        <v>731265.3251727554</v>
      </c>
      <c r="CG19" s="43">
        <f t="shared" si="52"/>
        <v>0.01</v>
      </c>
      <c r="CH19" s="8">
        <f t="shared" si="25"/>
        <v>27428.552919000005</v>
      </c>
      <c r="CI19" s="25">
        <f t="shared" si="53"/>
        <v>759062.82809175539</v>
      </c>
      <c r="CJ19" s="25">
        <f t="shared" si="54"/>
        <v>121450.05249468086</v>
      </c>
      <c r="CK19" s="25">
        <f t="shared" si="55"/>
        <v>60725.026247340429</v>
      </c>
      <c r="CL19" s="25">
        <f t="shared" si="56"/>
        <v>941237.90683377674</v>
      </c>
      <c r="CM19" s="47">
        <f t="shared" si="57"/>
        <v>2493914.7231662231</v>
      </c>
      <c r="CN19" s="41"/>
    </row>
    <row r="20" spans="1:92" x14ac:dyDescent="0.25">
      <c r="A20" s="40">
        <v>45808</v>
      </c>
      <c r="B20" s="40">
        <v>45838</v>
      </c>
      <c r="C20" s="8">
        <f t="shared" si="2"/>
        <v>30</v>
      </c>
      <c r="D20" s="8">
        <v>309392</v>
      </c>
      <c r="E20" s="8">
        <v>617882</v>
      </c>
      <c r="F20" s="8">
        <v>69202</v>
      </c>
      <c r="G20" s="8">
        <f t="shared" si="3"/>
        <v>996476</v>
      </c>
      <c r="H20" s="8">
        <v>1593</v>
      </c>
      <c r="I20" s="8">
        <v>1861</v>
      </c>
      <c r="J20" s="8">
        <v>1859</v>
      </c>
      <c r="K20" s="8">
        <v>1861</v>
      </c>
      <c r="L20" s="27">
        <f t="shared" si="26"/>
        <v>2428.0604288499026</v>
      </c>
      <c r="M20" s="8">
        <v>375229</v>
      </c>
      <c r="N20" s="8">
        <v>93.59</v>
      </c>
      <c r="O20" s="25">
        <v>368.95</v>
      </c>
      <c r="P20" s="25">
        <v>1.1429</v>
      </c>
      <c r="Q20" s="25">
        <v>2.0461</v>
      </c>
      <c r="R20" s="25">
        <v>2.3342000000000001</v>
      </c>
      <c r="S20" s="25">
        <v>102.05</v>
      </c>
      <c r="T20" s="25">
        <v>432.34</v>
      </c>
      <c r="U20" s="31">
        <f t="shared" si="27"/>
        <v>1859</v>
      </c>
      <c r="V20" s="8">
        <f t="shared" si="28"/>
        <v>1861</v>
      </c>
      <c r="W20" s="25">
        <f t="shared" si="60"/>
        <v>353604.11680000002</v>
      </c>
      <c r="X20" s="25">
        <f t="shared" si="61"/>
        <v>1264248.3602</v>
      </c>
      <c r="Y20" s="25">
        <f t="shared" si="62"/>
        <v>161531.30840000001</v>
      </c>
      <c r="Z20" s="25">
        <f t="shared" si="63"/>
        <v>189915.05</v>
      </c>
      <c r="AA20" s="25">
        <f t="shared" si="64"/>
        <v>803720.05999999994</v>
      </c>
      <c r="AB20" s="25">
        <f t="shared" si="65"/>
        <v>2773018.8953999998</v>
      </c>
      <c r="AC20" s="43">
        <f t="shared" si="29"/>
        <v>8.9999999999999993E-3</v>
      </c>
      <c r="AD20" s="25">
        <f t="shared" si="66"/>
        <v>24960.490608599997</v>
      </c>
      <c r="AE20" s="25">
        <f t="shared" si="67"/>
        <v>2798348.3360086</v>
      </c>
      <c r="AF20" s="25">
        <f t="shared" si="30"/>
        <v>447735.733761376</v>
      </c>
      <c r="AG20" s="25">
        <f t="shared" si="68"/>
        <v>223867.866880688</v>
      </c>
      <c r="AH20" s="25">
        <f t="shared" si="69"/>
        <v>3469951.9366506636</v>
      </c>
      <c r="AI20" s="25">
        <v>3469952.56</v>
      </c>
      <c r="AJ20" s="8" t="s">
        <v>7</v>
      </c>
      <c r="AK20" s="8">
        <f>SUM(Hoja2!O155:O184)</f>
        <v>250</v>
      </c>
      <c r="AL20" s="8">
        <f>SUM(Hoja2!P155:P184)</f>
        <v>430</v>
      </c>
      <c r="AM20" s="8">
        <f>SUM(Hoja2!Q155:Q184)</f>
        <v>40</v>
      </c>
      <c r="AN20" s="8">
        <f>SUM(Hoja2!R155:R184)</f>
        <v>60</v>
      </c>
      <c r="AO20" s="8">
        <f>SUM(Hoja2!S155:S184)</f>
        <v>300</v>
      </c>
      <c r="AP20" s="8">
        <f t="shared" si="31"/>
        <v>360</v>
      </c>
      <c r="AQ20" s="42">
        <f t="shared" si="7"/>
        <v>74254.080000000002</v>
      </c>
      <c r="AR20" s="27">
        <f t="shared" si="8"/>
        <v>431080.46511627908</v>
      </c>
      <c r="AS20" s="27">
        <f t="shared" si="9"/>
        <v>505334.5451162791</v>
      </c>
      <c r="AT20" s="43">
        <f t="shared" si="32"/>
        <v>0.14694043919541241</v>
      </c>
      <c r="AU20" s="43">
        <f t="shared" si="33"/>
        <v>0.85305956080458756</v>
      </c>
      <c r="AV20" s="43">
        <f t="shared" si="10"/>
        <v>0.50712164178191854</v>
      </c>
      <c r="AW20" s="8">
        <v>6.1452</v>
      </c>
      <c r="AX20" s="8">
        <v>0.85</v>
      </c>
      <c r="AY20" s="8">
        <v>0.62</v>
      </c>
      <c r="AZ20" s="31">
        <f t="shared" si="11"/>
        <v>6359.0265892206007</v>
      </c>
      <c r="BA20" s="31">
        <f t="shared" si="12"/>
        <v>10257</v>
      </c>
      <c r="BB20" s="31">
        <f t="shared" si="13"/>
        <v>3943.0232810431994</v>
      </c>
      <c r="BC20" s="31">
        <f t="shared" si="14"/>
        <v>6360</v>
      </c>
      <c r="BD20" s="31">
        <f t="shared" si="15"/>
        <v>3224.8000040604247</v>
      </c>
      <c r="BE20" s="31">
        <f t="shared" si="16"/>
        <v>5202</v>
      </c>
      <c r="BF20" s="31">
        <f t="shared" si="34"/>
        <v>2827.2</v>
      </c>
      <c r="BG20" s="31">
        <f t="shared" si="17"/>
        <v>443029.59071999998</v>
      </c>
      <c r="BH20" s="31">
        <f t="shared" si="35"/>
        <v>65098.962636960605</v>
      </c>
      <c r="BI20" s="31">
        <f t="shared" si="36"/>
        <v>377930.62808303937</v>
      </c>
      <c r="BJ20" s="31">
        <f t="shared" si="18"/>
        <v>-62305</v>
      </c>
      <c r="BK20" s="31">
        <f t="shared" si="19"/>
        <v>244293.03736303939</v>
      </c>
      <c r="BL20" s="31">
        <f t="shared" si="20"/>
        <v>239951.37191696063</v>
      </c>
      <c r="BM20" s="31">
        <f t="shared" si="21"/>
        <v>553446.40928000002</v>
      </c>
      <c r="BN20" s="43">
        <f t="shared" si="22"/>
        <v>0.44459634825123734</v>
      </c>
      <c r="BO20" s="31">
        <f t="shared" si="58"/>
        <v>244293.03736303939</v>
      </c>
      <c r="BP20" s="31">
        <f t="shared" si="59"/>
        <v>239951.37191696063</v>
      </c>
      <c r="BQ20" s="8">
        <f t="shared" si="37"/>
        <v>69202</v>
      </c>
      <c r="BR20" s="31">
        <f t="shared" si="38"/>
        <v>553446.40928000002</v>
      </c>
      <c r="BS20" s="31">
        <f t="shared" si="39"/>
        <v>1348.5536288499027</v>
      </c>
      <c r="BT20" s="8">
        <f t="shared" si="23"/>
        <v>93.59</v>
      </c>
      <c r="BU20" s="25">
        <f t="shared" si="40"/>
        <v>368.95</v>
      </c>
      <c r="BV20" s="25">
        <f t="shared" si="41"/>
        <v>1.1429</v>
      </c>
      <c r="BW20" s="25">
        <f t="shared" si="42"/>
        <v>2.0461</v>
      </c>
      <c r="BX20" s="25">
        <f t="shared" si="43"/>
        <v>2.3342000000000001</v>
      </c>
      <c r="BY20" s="25">
        <f t="shared" si="44"/>
        <v>102.05</v>
      </c>
      <c r="BZ20" s="25">
        <f t="shared" si="45"/>
        <v>432.34</v>
      </c>
      <c r="CA20" s="25">
        <f t="shared" si="46"/>
        <v>279202.51240221772</v>
      </c>
      <c r="CB20" s="25">
        <f t="shared" si="47"/>
        <v>490964.50207929313</v>
      </c>
      <c r="CC20" s="25">
        <f t="shared" si="48"/>
        <v>161531.30840000001</v>
      </c>
      <c r="CD20" s="25">
        <f t="shared" si="49"/>
        <v>137619.89782413255</v>
      </c>
      <c r="CE20" s="25">
        <f t="shared" si="50"/>
        <v>583033.67589696695</v>
      </c>
      <c r="CF20" s="25">
        <f t="shared" si="51"/>
        <v>931698.32288151083</v>
      </c>
      <c r="CG20" s="43">
        <f t="shared" si="52"/>
        <v>8.9999999999999993E-3</v>
      </c>
      <c r="CH20" s="8">
        <f t="shared" si="25"/>
        <v>24960.490608599997</v>
      </c>
      <c r="CI20" s="25">
        <f t="shared" si="53"/>
        <v>957027.76349011075</v>
      </c>
      <c r="CJ20" s="25">
        <f t="shared" si="54"/>
        <v>153124.44215841772</v>
      </c>
      <c r="CK20" s="25">
        <f t="shared" si="55"/>
        <v>76562.221079208859</v>
      </c>
      <c r="CL20" s="25">
        <f t="shared" si="56"/>
        <v>1186714.4267277373</v>
      </c>
      <c r="CM20" s="47">
        <f t="shared" si="57"/>
        <v>2283238.1332722628</v>
      </c>
      <c r="CN20" s="41"/>
    </row>
    <row r="21" spans="1:92" x14ac:dyDescent="0.25">
      <c r="A21" s="40">
        <v>45838</v>
      </c>
      <c r="B21" s="40">
        <v>45869</v>
      </c>
      <c r="C21" s="8">
        <f t="shared" si="2"/>
        <v>31</v>
      </c>
      <c r="D21" s="8">
        <v>292181</v>
      </c>
      <c r="E21" s="8">
        <v>637645</v>
      </c>
      <c r="F21" s="8">
        <v>73589</v>
      </c>
      <c r="G21" s="8">
        <f t="shared" si="3"/>
        <v>1003415</v>
      </c>
      <c r="H21" s="8">
        <v>1532</v>
      </c>
      <c r="I21" s="8">
        <v>1777</v>
      </c>
      <c r="J21" s="8">
        <v>1822</v>
      </c>
      <c r="K21" s="8">
        <v>1822</v>
      </c>
      <c r="L21" s="27">
        <f t="shared" si="26"/>
        <v>2366.0983776645917</v>
      </c>
      <c r="M21" s="8">
        <v>374983</v>
      </c>
      <c r="N21" s="8">
        <v>93.67</v>
      </c>
      <c r="O21" s="25">
        <v>368.95</v>
      </c>
      <c r="P21" s="25">
        <v>1.1572</v>
      </c>
      <c r="Q21" s="25">
        <v>2.0739000000000001</v>
      </c>
      <c r="R21" s="25">
        <v>2.3662999999999998</v>
      </c>
      <c r="S21" s="25">
        <v>102.05</v>
      </c>
      <c r="T21" s="25">
        <v>438.82</v>
      </c>
      <c r="U21" s="31">
        <f t="shared" si="27"/>
        <v>1822</v>
      </c>
      <c r="V21" s="8">
        <f t="shared" si="28"/>
        <v>1822</v>
      </c>
      <c r="W21" s="25">
        <f t="shared" si="60"/>
        <v>338111.85320000001</v>
      </c>
      <c r="X21" s="25">
        <f t="shared" si="61"/>
        <v>1322411.9654999999</v>
      </c>
      <c r="Y21" s="25">
        <f t="shared" si="62"/>
        <v>174133.6507</v>
      </c>
      <c r="Z21" s="25">
        <f t="shared" si="63"/>
        <v>185935.1</v>
      </c>
      <c r="AA21" s="25">
        <f t="shared" si="64"/>
        <v>799530.04</v>
      </c>
      <c r="AB21" s="25">
        <f t="shared" si="65"/>
        <v>2820122.6094</v>
      </c>
      <c r="AC21" s="43">
        <f t="shared" si="29"/>
        <v>8.9999999999999993E-3</v>
      </c>
      <c r="AD21" s="25">
        <f t="shared" si="66"/>
        <v>25384.424034600001</v>
      </c>
      <c r="AE21" s="25">
        <f t="shared" si="67"/>
        <v>2845875.9834346003</v>
      </c>
      <c r="AF21" s="25">
        <f t="shared" si="30"/>
        <v>455340.15734953608</v>
      </c>
      <c r="AG21" s="25">
        <f t="shared" si="68"/>
        <v>227670.07867476804</v>
      </c>
      <c r="AH21" s="25">
        <f t="shared" si="69"/>
        <v>3528886.2194589046</v>
      </c>
      <c r="AI21" s="25">
        <v>3528886.77</v>
      </c>
      <c r="AJ21" s="8" t="s">
        <v>7</v>
      </c>
      <c r="AK21" s="8">
        <f>SUM(Hoja2!O185:O215)</f>
        <v>242</v>
      </c>
      <c r="AL21" s="8">
        <f>SUM(Hoja2!P185:P215)</f>
        <v>456</v>
      </c>
      <c r="AM21" s="8">
        <f>SUM(Hoja2!Q185:Q215)</f>
        <v>46</v>
      </c>
      <c r="AN21" s="8">
        <f>SUM(Hoja2!R185:R215)</f>
        <v>48</v>
      </c>
      <c r="AO21" s="8">
        <f>SUM(Hoja2!S185:S215)</f>
        <v>324</v>
      </c>
      <c r="AP21" s="8">
        <f t="shared" si="31"/>
        <v>372</v>
      </c>
      <c r="AQ21" s="42">
        <f t="shared" si="7"/>
        <v>57953.25619834711</v>
      </c>
      <c r="AR21" s="27">
        <f t="shared" si="8"/>
        <v>453063.55263157893</v>
      </c>
      <c r="AS21" s="27">
        <f t="shared" si="9"/>
        <v>511016.80882992607</v>
      </c>
      <c r="AT21" s="43">
        <f t="shared" si="32"/>
        <v>0.11340772983777683</v>
      </c>
      <c r="AU21" s="43">
        <f t="shared" si="33"/>
        <v>0.88659227016222308</v>
      </c>
      <c r="AV21" s="43">
        <f t="shared" si="10"/>
        <v>0.5092776257380307</v>
      </c>
      <c r="AW21" s="8">
        <v>6.1497999999999999</v>
      </c>
      <c r="AX21" s="8">
        <v>0.85</v>
      </c>
      <c r="AY21" s="8">
        <v>0.62</v>
      </c>
      <c r="AZ21" s="31">
        <f t="shared" si="11"/>
        <v>6192.1144841537871</v>
      </c>
      <c r="BA21" s="31">
        <f t="shared" si="12"/>
        <v>9988</v>
      </c>
      <c r="BB21" s="31">
        <f t="shared" si="13"/>
        <v>3934.933043903312</v>
      </c>
      <c r="BC21" s="31">
        <f t="shared" si="14"/>
        <v>6347</v>
      </c>
      <c r="BD21" s="31">
        <f t="shared" si="15"/>
        <v>3153.5053627879115</v>
      </c>
      <c r="BE21" s="31">
        <f t="shared" si="16"/>
        <v>5087</v>
      </c>
      <c r="BF21" s="31">
        <f t="shared" si="34"/>
        <v>2827.2</v>
      </c>
      <c r="BG21" s="31">
        <f t="shared" si="17"/>
        <v>458139.928656</v>
      </c>
      <c r="BH21" s="31">
        <f t="shared" si="35"/>
        <v>51956.609256918004</v>
      </c>
      <c r="BI21" s="31">
        <f t="shared" si="36"/>
        <v>406183.31939908199</v>
      </c>
      <c r="BJ21" s="31">
        <f t="shared" si="18"/>
        <v>-52877</v>
      </c>
      <c r="BK21" s="31">
        <f t="shared" si="19"/>
        <v>240224.39074308198</v>
      </c>
      <c r="BL21" s="31">
        <f t="shared" si="20"/>
        <v>231461.68060091801</v>
      </c>
      <c r="BM21" s="31">
        <f t="shared" si="21"/>
        <v>545275.07134400005</v>
      </c>
      <c r="BN21" s="43">
        <f t="shared" si="22"/>
        <v>0.4565807055465585</v>
      </c>
      <c r="BO21" s="31">
        <f t="shared" si="58"/>
        <v>240224.39074308198</v>
      </c>
      <c r="BP21" s="31">
        <f t="shared" si="59"/>
        <v>231461.68060091801</v>
      </c>
      <c r="BQ21" s="8">
        <f t="shared" si="37"/>
        <v>73589</v>
      </c>
      <c r="BR21" s="31">
        <f t="shared" si="38"/>
        <v>545275.07134400005</v>
      </c>
      <c r="BS21" s="31">
        <f t="shared" si="39"/>
        <v>1285.7835109979251</v>
      </c>
      <c r="BT21" s="8">
        <f t="shared" si="23"/>
        <v>93.67</v>
      </c>
      <c r="BU21" s="25">
        <f t="shared" si="40"/>
        <v>368.95</v>
      </c>
      <c r="BV21" s="25">
        <f t="shared" si="41"/>
        <v>1.1572</v>
      </c>
      <c r="BW21" s="25">
        <f t="shared" si="42"/>
        <v>2.0739000000000001</v>
      </c>
      <c r="BX21" s="25">
        <f t="shared" si="43"/>
        <v>2.3662999999999998</v>
      </c>
      <c r="BY21" s="25">
        <f t="shared" si="44"/>
        <v>102.05</v>
      </c>
      <c r="BZ21" s="25">
        <f t="shared" si="45"/>
        <v>438.82</v>
      </c>
      <c r="CA21" s="25">
        <f t="shared" si="46"/>
        <v>277987.6649678945</v>
      </c>
      <c r="CB21" s="25">
        <f t="shared" si="47"/>
        <v>480028.37939824391</v>
      </c>
      <c r="CC21" s="25">
        <f t="shared" si="48"/>
        <v>174133.6507</v>
      </c>
      <c r="CD21" s="25">
        <f t="shared" si="49"/>
        <v>131214.20729733826</v>
      </c>
      <c r="CE21" s="25">
        <f t="shared" si="50"/>
        <v>564227.52029610949</v>
      </c>
      <c r="CF21" s="25">
        <f t="shared" si="51"/>
        <v>932149.6950661384</v>
      </c>
      <c r="CG21" s="43">
        <f t="shared" si="52"/>
        <v>8.9999999999999993E-3</v>
      </c>
      <c r="CH21" s="8">
        <f t="shared" si="25"/>
        <v>25384.424034600001</v>
      </c>
      <c r="CI21" s="25">
        <f t="shared" si="53"/>
        <v>957903.06910073839</v>
      </c>
      <c r="CJ21" s="25">
        <f t="shared" si="54"/>
        <v>153264.49105611813</v>
      </c>
      <c r="CK21" s="25">
        <f t="shared" si="55"/>
        <v>76632.245528059066</v>
      </c>
      <c r="CL21" s="25">
        <f t="shared" si="56"/>
        <v>1187799.8056849155</v>
      </c>
      <c r="CM21" s="47">
        <f t="shared" si="57"/>
        <v>2341086.9643150847</v>
      </c>
      <c r="CN21" s="41"/>
    </row>
    <row r="22" spans="1:92" x14ac:dyDescent="0.25">
      <c r="A22" s="40">
        <v>45869</v>
      </c>
      <c r="B22" s="40">
        <v>45900</v>
      </c>
      <c r="C22" s="8">
        <f t="shared" si="2"/>
        <v>31</v>
      </c>
      <c r="D22" s="8">
        <v>312212</v>
      </c>
      <c r="E22" s="8">
        <v>636185</v>
      </c>
      <c r="F22" s="8">
        <v>68684</v>
      </c>
      <c r="G22" s="8">
        <f t="shared" si="3"/>
        <v>1017081</v>
      </c>
      <c r="H22" s="8">
        <v>1524</v>
      </c>
      <c r="I22" s="8">
        <v>1802</v>
      </c>
      <c r="J22" s="8">
        <v>1784</v>
      </c>
      <c r="K22" s="8">
        <v>1802</v>
      </c>
      <c r="L22" s="27">
        <f t="shared" si="26"/>
        <v>2398.3234295415959</v>
      </c>
      <c r="M22" s="8">
        <v>360110</v>
      </c>
      <c r="N22" s="8">
        <v>94.27</v>
      </c>
      <c r="O22" s="25">
        <v>368.95</v>
      </c>
      <c r="P22" s="25">
        <v>1.1585000000000001</v>
      </c>
      <c r="Q22" s="25">
        <v>2.0764999999999998</v>
      </c>
      <c r="R22" s="25">
        <v>2.3693</v>
      </c>
      <c r="S22" s="25">
        <v>102.05</v>
      </c>
      <c r="T22" s="25">
        <v>439.43</v>
      </c>
      <c r="U22" s="31">
        <f t="shared" si="27"/>
        <v>1784</v>
      </c>
      <c r="V22" s="8">
        <f t="shared" si="28"/>
        <v>1802</v>
      </c>
      <c r="W22" s="25">
        <f t="shared" si="60"/>
        <v>361697.60200000001</v>
      </c>
      <c r="X22" s="25">
        <f t="shared" si="61"/>
        <v>1321038.1524999999</v>
      </c>
      <c r="Y22" s="25">
        <f t="shared" si="62"/>
        <v>162733.0012</v>
      </c>
      <c r="Z22" s="25">
        <f t="shared" si="63"/>
        <v>183894.1</v>
      </c>
      <c r="AA22" s="25">
        <f t="shared" si="64"/>
        <v>783943.12</v>
      </c>
      <c r="AB22" s="25">
        <f t="shared" si="65"/>
        <v>2813305.9756999998</v>
      </c>
      <c r="AC22" s="43">
        <f t="shared" si="29"/>
        <v>5.0000000000000001E-3</v>
      </c>
      <c r="AD22" s="25">
        <f t="shared" si="66"/>
        <v>14068.3746285</v>
      </c>
      <c r="AE22" s="25">
        <f t="shared" si="67"/>
        <v>2827743.3003285001</v>
      </c>
      <c r="AF22" s="25">
        <f t="shared" si="30"/>
        <v>452438.92805256002</v>
      </c>
      <c r="AG22" s="25">
        <f t="shared" si="68"/>
        <v>226219.46402628001</v>
      </c>
      <c r="AH22" s="25">
        <f t="shared" si="69"/>
        <v>3506401.6924073403</v>
      </c>
      <c r="AI22" s="25">
        <v>3506402.47</v>
      </c>
      <c r="AJ22" s="8" t="s">
        <v>7</v>
      </c>
      <c r="AK22" s="8">
        <f>SUM(Hoja2!O216:O246)</f>
        <v>243</v>
      </c>
      <c r="AL22" s="8">
        <f>SUM(Hoja2!P216:P246)</f>
        <v>457</v>
      </c>
      <c r="AM22" s="8">
        <f>SUM(Hoja2!Q216:Q246)</f>
        <v>44</v>
      </c>
      <c r="AN22" s="8">
        <f>SUM(Hoja2!R216:R246)</f>
        <v>48</v>
      </c>
      <c r="AO22" s="8">
        <f>SUM(Hoja2!S216:S246)</f>
        <v>324</v>
      </c>
      <c r="AP22" s="8">
        <f t="shared" si="31"/>
        <v>372</v>
      </c>
      <c r="AQ22" s="42">
        <f t="shared" si="7"/>
        <v>61671.506172839509</v>
      </c>
      <c r="AR22" s="27">
        <f t="shared" si="8"/>
        <v>451037.06783369801</v>
      </c>
      <c r="AS22" s="27">
        <f t="shared" si="9"/>
        <v>512708.5740065375</v>
      </c>
      <c r="AT22" s="43">
        <f t="shared" si="32"/>
        <v>0.12028569308078929</v>
      </c>
      <c r="AU22" s="43">
        <f t="shared" si="33"/>
        <v>0.87971430691921071</v>
      </c>
      <c r="AV22" s="43">
        <f t="shared" si="10"/>
        <v>0.50409807479103186</v>
      </c>
      <c r="AW22" s="8">
        <v>6.5503</v>
      </c>
      <c r="AX22" s="8">
        <v>0.85</v>
      </c>
      <c r="AY22" s="8">
        <v>0.62</v>
      </c>
      <c r="AZ22" s="31">
        <f t="shared" si="11"/>
        <v>5892.6918508679055</v>
      </c>
      <c r="BA22" s="31">
        <f t="shared" si="12"/>
        <v>9505</v>
      </c>
      <c r="BB22" s="31">
        <f t="shared" si="13"/>
        <v>3685.8835875848613</v>
      </c>
      <c r="BC22" s="31">
        <f t="shared" si="14"/>
        <v>5945</v>
      </c>
      <c r="BD22" s="31">
        <f t="shared" si="15"/>
        <v>2970.4946173593135</v>
      </c>
      <c r="BE22" s="31">
        <f t="shared" si="16"/>
        <v>4792</v>
      </c>
      <c r="BF22" s="31">
        <f t="shared" si="34"/>
        <v>2827.2</v>
      </c>
      <c r="BG22" s="31">
        <f t="shared" si="17"/>
        <v>487975.86501599994</v>
      </c>
      <c r="BH22" s="31">
        <f t="shared" si="35"/>
        <v>58696.515130147236</v>
      </c>
      <c r="BI22" s="31">
        <f t="shared" si="36"/>
        <v>429279.34988585272</v>
      </c>
      <c r="BJ22" s="31">
        <f t="shared" si="18"/>
        <v>-24733</v>
      </c>
      <c r="BK22" s="31">
        <f t="shared" si="19"/>
        <v>253515.48486985278</v>
      </c>
      <c r="BL22" s="31">
        <f t="shared" si="20"/>
        <v>206905.65011414728</v>
      </c>
      <c r="BM22" s="31">
        <f t="shared" si="21"/>
        <v>529105.13498400012</v>
      </c>
      <c r="BN22" s="43">
        <f t="shared" si="22"/>
        <v>0.47978073036070867</v>
      </c>
      <c r="BO22" s="31">
        <f t="shared" si="58"/>
        <v>253515.48486985278</v>
      </c>
      <c r="BP22" s="31">
        <f t="shared" si="59"/>
        <v>206905.65011414728</v>
      </c>
      <c r="BQ22" s="8">
        <f t="shared" si="37"/>
        <v>68684</v>
      </c>
      <c r="BR22" s="31">
        <f t="shared" si="38"/>
        <v>529105.13498400012</v>
      </c>
      <c r="BS22" s="31">
        <f t="shared" si="39"/>
        <v>1247.6540628749297</v>
      </c>
      <c r="BT22" s="8">
        <f t="shared" si="23"/>
        <v>94.27</v>
      </c>
      <c r="BU22" s="25">
        <f t="shared" si="40"/>
        <v>368.95</v>
      </c>
      <c r="BV22" s="25">
        <f t="shared" si="41"/>
        <v>1.1585000000000001</v>
      </c>
      <c r="BW22" s="25">
        <f t="shared" si="42"/>
        <v>2.0764999999999998</v>
      </c>
      <c r="BX22" s="25">
        <f t="shared" si="43"/>
        <v>2.3693</v>
      </c>
      <c r="BY22" s="25">
        <f t="shared" si="44"/>
        <v>102.05</v>
      </c>
      <c r="BZ22" s="25">
        <f t="shared" si="45"/>
        <v>439.43</v>
      </c>
      <c r="CA22" s="25">
        <f t="shared" si="46"/>
        <v>293697.68922172446</v>
      </c>
      <c r="CB22" s="25">
        <f t="shared" si="47"/>
        <v>429639.5824620268</v>
      </c>
      <c r="CC22" s="25">
        <f t="shared" si="48"/>
        <v>162733.0012</v>
      </c>
      <c r="CD22" s="25">
        <f t="shared" si="49"/>
        <v>127323.09711638656</v>
      </c>
      <c r="CE22" s="25">
        <f t="shared" si="50"/>
        <v>548256.6248491304</v>
      </c>
      <c r="CF22" s="25">
        <f t="shared" si="51"/>
        <v>886070.2728837512</v>
      </c>
      <c r="CG22" s="43">
        <f t="shared" si="52"/>
        <v>5.0000000000000001E-3</v>
      </c>
      <c r="CH22" s="8">
        <f t="shared" si="25"/>
        <v>14068.3746285</v>
      </c>
      <c r="CI22" s="25">
        <f t="shared" si="53"/>
        <v>900507.59751225112</v>
      </c>
      <c r="CJ22" s="25">
        <f t="shared" si="54"/>
        <v>144081.21560196017</v>
      </c>
      <c r="CK22" s="25">
        <f t="shared" si="55"/>
        <v>72040.607800980084</v>
      </c>
      <c r="CL22" s="25">
        <f t="shared" si="56"/>
        <v>1116629.4209151913</v>
      </c>
      <c r="CM22" s="47">
        <f t="shared" si="57"/>
        <v>2389773.0490848087</v>
      </c>
      <c r="CN22" s="41"/>
    </row>
    <row r="23" spans="1:92" x14ac:dyDescent="0.25">
      <c r="A23" s="40">
        <v>45900</v>
      </c>
      <c r="B23" s="40">
        <v>45930</v>
      </c>
      <c r="C23" s="8">
        <f t="shared" si="2"/>
        <v>30</v>
      </c>
      <c r="D23" s="8">
        <v>283090</v>
      </c>
      <c r="E23" s="8">
        <v>603860</v>
      </c>
      <c r="F23" s="8">
        <v>67117</v>
      </c>
      <c r="G23" s="8">
        <f t="shared" si="3"/>
        <v>954067</v>
      </c>
      <c r="H23" s="8">
        <v>1498</v>
      </c>
      <c r="I23" s="8">
        <v>1760</v>
      </c>
      <c r="J23" s="8">
        <v>1795</v>
      </c>
      <c r="K23" s="8">
        <v>1795</v>
      </c>
      <c r="L23" s="27">
        <f t="shared" si="26"/>
        <v>2324.7246588693956</v>
      </c>
      <c r="M23" s="8">
        <v>345944</v>
      </c>
      <c r="N23" s="8">
        <v>94.01</v>
      </c>
      <c r="O23" s="25">
        <v>368.95</v>
      </c>
      <c r="P23" s="25">
        <v>1.1537999999999999</v>
      </c>
      <c r="Q23" s="25">
        <v>2.0634000000000001</v>
      </c>
      <c r="R23" s="25">
        <v>2.3534999999999999</v>
      </c>
      <c r="S23" s="25">
        <v>102.05</v>
      </c>
      <c r="T23" s="25">
        <v>435.41</v>
      </c>
      <c r="U23" s="31">
        <f t="shared" si="27"/>
        <v>1795</v>
      </c>
      <c r="V23" s="8">
        <f t="shared" si="28"/>
        <v>1795</v>
      </c>
      <c r="W23" s="25">
        <f t="shared" si="60"/>
        <v>326629.24199999997</v>
      </c>
      <c r="X23" s="25">
        <f t="shared" si="61"/>
        <v>1246004.7240000002</v>
      </c>
      <c r="Y23" s="25">
        <f t="shared" si="62"/>
        <v>157959.85949999999</v>
      </c>
      <c r="Z23" s="25">
        <f t="shared" si="63"/>
        <v>183179.75</v>
      </c>
      <c r="AA23" s="25">
        <f t="shared" si="64"/>
        <v>781560.95000000007</v>
      </c>
      <c r="AB23" s="25">
        <f t="shared" si="65"/>
        <v>2695334.5255</v>
      </c>
      <c r="AC23" s="43">
        <f t="shared" si="29"/>
        <v>6.0000000000000001E-3</v>
      </c>
      <c r="AD23" s="25">
        <f t="shared" si="66"/>
        <v>16174.220853000001</v>
      </c>
      <c r="AE23" s="25">
        <f t="shared" si="67"/>
        <v>2711877.6963530001</v>
      </c>
      <c r="AF23" s="25">
        <f t="shared" si="30"/>
        <v>433900.43141648005</v>
      </c>
      <c r="AG23" s="25">
        <f t="shared" si="68"/>
        <v>216950.21570824002</v>
      </c>
      <c r="AH23" s="25">
        <f t="shared" si="69"/>
        <v>3362728.3434777199</v>
      </c>
      <c r="AI23" s="25">
        <v>3145778.6</v>
      </c>
      <c r="AJ23" s="8" t="s">
        <v>7</v>
      </c>
      <c r="AK23" s="8">
        <f>SUM(Hoja2!O247:O276)</f>
        <v>249</v>
      </c>
      <c r="AL23" s="8">
        <f>SUM(Hoja2!P247:P276)</f>
        <v>429</v>
      </c>
      <c r="AM23" s="8">
        <f>SUM(Hoja2!Q247:Q276)</f>
        <v>42</v>
      </c>
      <c r="AN23" s="8">
        <f>SUM(Hoja2!R247:R276)</f>
        <v>60</v>
      </c>
      <c r="AO23" s="8">
        <f>SUM(Hoja2!S247:S276)</f>
        <v>300</v>
      </c>
      <c r="AP23" s="8">
        <f t="shared" si="31"/>
        <v>360</v>
      </c>
      <c r="AQ23" s="42">
        <f t="shared" si="7"/>
        <v>68214.457831325301</v>
      </c>
      <c r="AR23" s="27">
        <f t="shared" si="8"/>
        <v>422279.72027972026</v>
      </c>
      <c r="AS23" s="27">
        <f t="shared" si="9"/>
        <v>490494.17811104556</v>
      </c>
      <c r="AT23" s="43">
        <f t="shared" si="32"/>
        <v>0.13907292048608549</v>
      </c>
      <c r="AU23" s="43">
        <f t="shared" si="33"/>
        <v>0.86092707951391445</v>
      </c>
      <c r="AV23" s="43">
        <f t="shared" si="10"/>
        <v>0.51410873461826634</v>
      </c>
      <c r="AW23" s="8">
        <v>5.3507999999999996</v>
      </c>
      <c r="AX23" s="8">
        <v>0.85</v>
      </c>
      <c r="AY23" s="8">
        <v>0.62</v>
      </c>
      <c r="AZ23" s="31">
        <f t="shared" si="11"/>
        <v>6992.2987510022322</v>
      </c>
      <c r="BA23" s="31">
        <f t="shared" si="12"/>
        <v>11278</v>
      </c>
      <c r="BB23" s="31">
        <f t="shared" si="13"/>
        <v>4425.6530451008239</v>
      </c>
      <c r="BC23" s="31">
        <f t="shared" si="14"/>
        <v>7139</v>
      </c>
      <c r="BD23" s="31">
        <f t="shared" si="15"/>
        <v>3594.8018629506419</v>
      </c>
      <c r="BE23" s="31">
        <f t="shared" si="16"/>
        <v>5799</v>
      </c>
      <c r="BF23" s="31">
        <f t="shared" si="34"/>
        <v>2827.2</v>
      </c>
      <c r="BG23" s="31">
        <f t="shared" si="17"/>
        <v>385758.43487999996</v>
      </c>
      <c r="BH23" s="31">
        <f t="shared" si="35"/>
        <v>53648.552140903026</v>
      </c>
      <c r="BI23" s="31">
        <f t="shared" si="36"/>
        <v>332109.88273909694</v>
      </c>
      <c r="BJ23" s="31">
        <f t="shared" si="18"/>
        <v>-104736</v>
      </c>
      <c r="BK23" s="31">
        <f t="shared" si="19"/>
        <v>229441.44785909698</v>
      </c>
      <c r="BL23" s="31">
        <f t="shared" si="20"/>
        <v>271750.11726090306</v>
      </c>
      <c r="BM23" s="31">
        <f t="shared" si="21"/>
        <v>568308.56512000004</v>
      </c>
      <c r="BN23" s="43">
        <f t="shared" si="22"/>
        <v>0.40433055003474594</v>
      </c>
      <c r="BO23" s="31">
        <f t="shared" si="58"/>
        <v>229441.44785909698</v>
      </c>
      <c r="BP23" s="31">
        <f t="shared" si="59"/>
        <v>271750.11726090306</v>
      </c>
      <c r="BQ23" s="8">
        <f t="shared" si="37"/>
        <v>67117</v>
      </c>
      <c r="BR23" s="31">
        <f t="shared" si="38"/>
        <v>568308.56512000004</v>
      </c>
      <c r="BS23" s="31">
        <f t="shared" si="39"/>
        <v>1384.7674588693958</v>
      </c>
      <c r="BT23" s="8">
        <f t="shared" si="23"/>
        <v>94.01</v>
      </c>
      <c r="BU23" s="25">
        <f t="shared" si="40"/>
        <v>368.95</v>
      </c>
      <c r="BV23" s="25">
        <f t="shared" si="41"/>
        <v>1.1537999999999999</v>
      </c>
      <c r="BW23" s="25">
        <f t="shared" si="42"/>
        <v>2.0634000000000001</v>
      </c>
      <c r="BX23" s="25">
        <f t="shared" si="43"/>
        <v>2.3534999999999999</v>
      </c>
      <c r="BY23" s="25">
        <f t="shared" si="44"/>
        <v>102.05</v>
      </c>
      <c r="BZ23" s="25">
        <f t="shared" si="45"/>
        <v>435.41</v>
      </c>
      <c r="CA23" s="25">
        <f t="shared" si="46"/>
        <v>264729.54253982607</v>
      </c>
      <c r="CB23" s="25">
        <f>BP23*BW23</f>
        <v>560729.19195614744</v>
      </c>
      <c r="CC23" s="25">
        <f t="shared" si="48"/>
        <v>157959.85949999999</v>
      </c>
      <c r="CD23" s="25">
        <f t="shared" si="49"/>
        <v>141315.51917762184</v>
      </c>
      <c r="CE23" s="25">
        <f t="shared" si="50"/>
        <v>602941.59926632361</v>
      </c>
      <c r="CF23" s="25">
        <f t="shared" si="51"/>
        <v>983418.59399597347</v>
      </c>
      <c r="CG23" s="43">
        <f t="shared" si="52"/>
        <v>6.0000000000000001E-3</v>
      </c>
      <c r="CH23" s="8">
        <f t="shared" si="25"/>
        <v>16174.220853000001</v>
      </c>
      <c r="CI23" s="25">
        <f t="shared" si="53"/>
        <v>999961.76484897337</v>
      </c>
      <c r="CJ23" s="25">
        <f t="shared" si="54"/>
        <v>159993.88237583573</v>
      </c>
      <c r="CK23" s="25">
        <f t="shared" si="55"/>
        <v>79996.941187917866</v>
      </c>
      <c r="CL23" s="25">
        <f t="shared" si="56"/>
        <v>1239952.588412727</v>
      </c>
      <c r="CM23" s="47">
        <f t="shared" si="57"/>
        <v>1905826.0115872731</v>
      </c>
      <c r="CN23" s="41"/>
    </row>
    <row r="24" spans="1:92" x14ac:dyDescent="0.25">
      <c r="A24" s="44"/>
      <c r="AI24" s="46"/>
      <c r="AY24" s="50" t="s">
        <v>74</v>
      </c>
      <c r="AZ24" s="51">
        <f t="shared" ref="AZ24:BE24" si="70">MAX(AZ3:AZ23)</f>
        <v>8111.7299859775621</v>
      </c>
      <c r="BA24" s="52">
        <f t="shared" si="70"/>
        <v>13084</v>
      </c>
      <c r="BB24" s="51">
        <f t="shared" si="70"/>
        <v>4668.3402730227845</v>
      </c>
      <c r="BC24" s="52">
        <f t="shared" si="70"/>
        <v>7530</v>
      </c>
      <c r="BD24" s="51">
        <f t="shared" si="70"/>
        <v>4068.3124904556394</v>
      </c>
      <c r="BE24" s="52">
        <f t="shared" si="70"/>
        <v>6562</v>
      </c>
      <c r="BF24" s="53" t="s">
        <v>74</v>
      </c>
      <c r="BG24" s="54">
        <f t="shared" ref="BG24:BN24" si="71">MAX(BG3:BG23)</f>
        <v>586274.28705599986</v>
      </c>
      <c r="BH24" s="54">
        <f t="shared" si="71"/>
        <v>90205.5153317191</v>
      </c>
      <c r="BI24" s="54">
        <f t="shared" si="71"/>
        <v>513441.06878683902</v>
      </c>
      <c r="BJ24" s="54">
        <f t="shared" si="71"/>
        <v>178335</v>
      </c>
      <c r="BK24" s="54">
        <f t="shared" si="71"/>
        <v>275508.23204642767</v>
      </c>
      <c r="BL24" s="54">
        <f t="shared" si="71"/>
        <v>317210.68305145629</v>
      </c>
      <c r="BM24" s="54">
        <f t="shared" si="71"/>
        <v>661205.77943999995</v>
      </c>
      <c r="BN24" s="55">
        <f t="shared" si="71"/>
        <v>0.51505177748856756</v>
      </c>
      <c r="CL24" s="1" t="s">
        <v>131</v>
      </c>
      <c r="CM24" s="41">
        <f>AVERAGE(CM3:CM23)</f>
        <v>2208939.5849161944</v>
      </c>
    </row>
    <row r="25" spans="1:92" ht="42.75" x14ac:dyDescent="0.25">
      <c r="A25" s="44"/>
      <c r="AY25" s="11" t="s">
        <v>75</v>
      </c>
      <c r="AZ25" s="28">
        <f t="shared" ref="AZ25:BE25" si="72">MIN(AZ3:AZ23)</f>
        <v>3761.3735370465183</v>
      </c>
      <c r="BA25" s="29">
        <f t="shared" si="72"/>
        <v>6067</v>
      </c>
      <c r="BB25" s="28">
        <f t="shared" si="72"/>
        <v>2335.0519013529984</v>
      </c>
      <c r="BC25" s="29">
        <f t="shared" si="72"/>
        <v>3767</v>
      </c>
      <c r="BD25" s="28">
        <f t="shared" si="72"/>
        <v>1937.3069537027413</v>
      </c>
      <c r="BE25" s="29">
        <f t="shared" si="72"/>
        <v>3125</v>
      </c>
      <c r="BF25" s="35" t="s">
        <v>75</v>
      </c>
      <c r="BG25" s="36">
        <f t="shared" ref="BG25:BN25" si="73">MIN(BG3:BG23)</f>
        <v>341634.50824799994</v>
      </c>
      <c r="BH25" s="36">
        <f t="shared" si="73"/>
        <v>42619.80299005354</v>
      </c>
      <c r="BI25" s="36">
        <f t="shared" si="73"/>
        <v>286735.96297373337</v>
      </c>
      <c r="BJ25" s="37">
        <f t="shared" si="73"/>
        <v>-149975</v>
      </c>
      <c r="BK25" s="37">
        <f t="shared" si="73"/>
        <v>160138.37163330719</v>
      </c>
      <c r="BL25" s="37">
        <f t="shared" si="73"/>
        <v>-29431.55531330721</v>
      </c>
      <c r="BM25" s="37">
        <f t="shared" si="73"/>
        <v>365542.81631999998</v>
      </c>
      <c r="BN25" s="38">
        <f t="shared" si="73"/>
        <v>0.34853231121934192</v>
      </c>
      <c r="BO25" s="32"/>
      <c r="BP25" s="33"/>
      <c r="BQ25" s="32"/>
      <c r="CL25" s="1" t="s">
        <v>130</v>
      </c>
      <c r="CM25" s="26" t="s">
        <v>132</v>
      </c>
      <c r="CN25" s="26" t="s">
        <v>133</v>
      </c>
    </row>
    <row r="26" spans="1:92" x14ac:dyDescent="0.25">
      <c r="A26" s="44"/>
      <c r="AY26" s="11" t="s">
        <v>76</v>
      </c>
      <c r="AZ26" s="28">
        <f t="shared" ref="AZ26:BE26" si="74">AVERAGE(AZ3:AZ23)</f>
        <v>6432.149246347296</v>
      </c>
      <c r="BA26" s="29">
        <f t="shared" si="74"/>
        <v>10374.952380952382</v>
      </c>
      <c r="BB26" s="28">
        <f t="shared" si="74"/>
        <v>3807.4251317628805</v>
      </c>
      <c r="BC26" s="29">
        <f t="shared" si="74"/>
        <v>6141.4761904761908</v>
      </c>
      <c r="BD26" s="28">
        <f t="shared" si="74"/>
        <v>3248.4715341382134</v>
      </c>
      <c r="BE26" s="29">
        <f t="shared" si="74"/>
        <v>5239.9047619047615</v>
      </c>
      <c r="BF26" s="35" t="s">
        <v>76</v>
      </c>
      <c r="BG26" s="36">
        <f t="shared" ref="BG26:BN26" si="75">AVERAGE(BG3:BG23)</f>
        <v>452585.33420114283</v>
      </c>
      <c r="BH26" s="36">
        <f t="shared" si="75"/>
        <v>60316.525447198735</v>
      </c>
      <c r="BI26" s="36">
        <f t="shared" si="75"/>
        <v>392268.80875394412</v>
      </c>
      <c r="BJ26" s="37">
        <f t="shared" si="75"/>
        <v>-55206.142857142855</v>
      </c>
      <c r="BK26" s="37">
        <f t="shared" si="75"/>
        <v>246377.14121946794</v>
      </c>
      <c r="BL26" s="37">
        <f t="shared" si="75"/>
        <v>205413.42934129396</v>
      </c>
      <c r="BM26" s="37">
        <f t="shared" si="75"/>
        <v>567803.33246552385</v>
      </c>
      <c r="BN26" s="38">
        <f t="shared" si="75"/>
        <v>0.43511748757554036</v>
      </c>
      <c r="BO26" s="32"/>
      <c r="BP26" s="33"/>
      <c r="BQ26" s="32"/>
      <c r="CL26" s="41">
        <v>52000000</v>
      </c>
      <c r="CM26" s="1">
        <f>ROUNDUP(CL26/CM24,0)</f>
        <v>24</v>
      </c>
      <c r="CN26" s="1">
        <f>CM26/12</f>
        <v>2</v>
      </c>
    </row>
    <row r="27" spans="1:92" ht="28.5" x14ac:dyDescent="0.25">
      <c r="A27" s="44"/>
      <c r="AY27" s="11" t="s">
        <v>77</v>
      </c>
      <c r="AZ27" s="30">
        <f t="shared" ref="AZ27:BE27" si="76">PERCENTILE(AZ3:AZ23,0.95)</f>
        <v>7716.5016975586941</v>
      </c>
      <c r="BA27" s="29">
        <f t="shared" si="76"/>
        <v>12446</v>
      </c>
      <c r="BB27" s="30">
        <f t="shared" si="76"/>
        <v>4646.261434976921</v>
      </c>
      <c r="BC27" s="29">
        <f t="shared" si="76"/>
        <v>7494</v>
      </c>
      <c r="BD27" s="30">
        <f t="shared" si="76"/>
        <v>3916.2532928790342</v>
      </c>
      <c r="BE27" s="29">
        <f t="shared" si="76"/>
        <v>6317</v>
      </c>
      <c r="BF27" s="35" t="s">
        <v>77</v>
      </c>
      <c r="BG27" s="39">
        <f t="shared" ref="BG27:BN27" si="77">PERCENTILE(BG3:BG23,0.95)</f>
        <v>566569.18368000002</v>
      </c>
      <c r="BH27" s="39">
        <f t="shared" si="77"/>
        <v>77241.611553303461</v>
      </c>
      <c r="BI27" s="39">
        <f t="shared" si="77"/>
        <v>497374.55531330721</v>
      </c>
      <c r="BJ27" s="37">
        <f t="shared" si="77"/>
        <v>60903</v>
      </c>
      <c r="BK27" s="37">
        <f t="shared" si="77"/>
        <v>271731.33857925847</v>
      </c>
      <c r="BL27" s="37">
        <f t="shared" si="77"/>
        <v>306942.22654074163</v>
      </c>
      <c r="BM27" s="37">
        <f t="shared" si="77"/>
        <v>647778.56512000004</v>
      </c>
      <c r="BN27" s="38">
        <f t="shared" si="77"/>
        <v>0.50240053875705326</v>
      </c>
      <c r="BO27" s="32"/>
      <c r="BP27" s="34"/>
      <c r="BQ27" s="32"/>
    </row>
    <row r="28" spans="1:92" x14ac:dyDescent="0.25">
      <c r="A28" s="44"/>
    </row>
    <row r="29" spans="1:92" x14ac:dyDescent="0.25">
      <c r="A29" s="44"/>
    </row>
    <row r="30" spans="1:92" x14ac:dyDescent="0.25">
      <c r="A30" s="44"/>
    </row>
    <row r="31" spans="1:92" x14ac:dyDescent="0.25">
      <c r="A31" s="44"/>
    </row>
    <row r="32" spans="1:92" x14ac:dyDescent="0.25">
      <c r="A32" s="44"/>
    </row>
    <row r="33" spans="1:1" x14ac:dyDescent="0.25">
      <c r="A33" s="44"/>
    </row>
    <row r="34" spans="1:1" x14ac:dyDescent="0.25">
      <c r="A34" s="44"/>
    </row>
    <row r="35" spans="1:1" x14ac:dyDescent="0.25">
      <c r="A35" s="44"/>
    </row>
    <row r="36" spans="1:1" x14ac:dyDescent="0.25">
      <c r="A36" s="44"/>
    </row>
    <row r="37" spans="1:1" x14ac:dyDescent="0.25">
      <c r="A37" s="44"/>
    </row>
    <row r="38" spans="1:1" x14ac:dyDescent="0.25">
      <c r="A38" s="44"/>
    </row>
    <row r="39" spans="1:1" x14ac:dyDescent="0.25">
      <c r="A39" s="44"/>
    </row>
    <row r="40" spans="1:1" x14ac:dyDescent="0.25">
      <c r="A40" s="44"/>
    </row>
    <row r="41" spans="1:1" x14ac:dyDescent="0.25">
      <c r="A41" s="44"/>
    </row>
    <row r="42" spans="1:1" x14ac:dyDescent="0.25">
      <c r="A42" s="44"/>
    </row>
    <row r="43" spans="1:1" x14ac:dyDescent="0.25">
      <c r="A43" s="44"/>
    </row>
    <row r="44" spans="1:1" x14ac:dyDescent="0.25">
      <c r="A44" s="44"/>
    </row>
    <row r="45" spans="1:1" x14ac:dyDescent="0.25">
      <c r="A45" s="44"/>
    </row>
    <row r="46" spans="1:1" x14ac:dyDescent="0.25">
      <c r="A46" s="44"/>
    </row>
    <row r="47" spans="1:1" x14ac:dyDescent="0.25">
      <c r="A47" s="44"/>
    </row>
    <row r="48" spans="1:1" x14ac:dyDescent="0.25">
      <c r="A48" s="44"/>
    </row>
    <row r="49" spans="1:1" x14ac:dyDescent="0.25">
      <c r="A49" s="44"/>
    </row>
  </sheetData>
  <sortState xmlns:xlrd2="http://schemas.microsoft.com/office/spreadsheetml/2017/richdata2" ref="A3:CQ23">
    <sortCondition ref="A3:A23"/>
  </sortState>
  <mergeCells count="17">
    <mergeCell ref="A1:C1"/>
    <mergeCell ref="D1:G1"/>
    <mergeCell ref="M1:N1"/>
    <mergeCell ref="AK1:AM1"/>
    <mergeCell ref="AN1:AP1"/>
    <mergeCell ref="AE1:AH1"/>
    <mergeCell ref="P1:R1"/>
    <mergeCell ref="H1:L1"/>
    <mergeCell ref="S1:V1"/>
    <mergeCell ref="W1:AB1"/>
    <mergeCell ref="AC1:AD1"/>
    <mergeCell ref="CA1:CF1"/>
    <mergeCell ref="CG1:CH1"/>
    <mergeCell ref="CI1:CL1"/>
    <mergeCell ref="AQ1:AV1"/>
    <mergeCell ref="AW1:BE1"/>
    <mergeCell ref="BF1:B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C0DB-BF8A-4B62-9EA9-63FD41273935}">
  <dimension ref="A1:Z381"/>
  <sheetViews>
    <sheetView zoomScale="85" zoomScaleNormal="85" workbookViewId="0"/>
  </sheetViews>
  <sheetFormatPr baseColWidth="10" defaultRowHeight="15" x14ac:dyDescent="0.25"/>
  <cols>
    <col min="1" max="1" width="13.85546875" style="1" customWidth="1"/>
    <col min="2" max="2" width="11.42578125" style="1" customWidth="1"/>
    <col min="3" max="3" width="13.42578125" style="1" customWidth="1"/>
    <col min="4" max="4" width="11.42578125" style="1" customWidth="1"/>
    <col min="5" max="5" width="11.42578125" style="7" customWidth="1"/>
    <col min="6" max="6" width="14.85546875" style="7" customWidth="1"/>
    <col min="7" max="7" width="14.28515625" style="7" customWidth="1"/>
    <col min="8" max="8" width="19.7109375" style="7" customWidth="1"/>
    <col min="9" max="9" width="11.42578125" style="7" customWidth="1"/>
    <col min="10" max="12" width="14.85546875" style="7" customWidth="1"/>
    <col min="13" max="13" width="11.42578125" style="7" customWidth="1"/>
    <col min="14" max="14" width="15.28515625" style="7" customWidth="1"/>
    <col min="15" max="15" width="13.42578125" style="1" customWidth="1"/>
    <col min="16" max="16" width="14.7109375" style="1" customWidth="1"/>
    <col min="17" max="17" width="10.140625" style="1" customWidth="1"/>
    <col min="18" max="18" width="11.42578125" style="1"/>
    <col min="19" max="19" width="17.140625" style="1" customWidth="1"/>
    <col min="20" max="26" width="11.42578125" style="1"/>
  </cols>
  <sheetData>
    <row r="1" spans="1:19" ht="28.5" x14ac:dyDescent="0.25">
      <c r="A1" s="11" t="s">
        <v>41</v>
      </c>
      <c r="B1" s="9" t="s">
        <v>39</v>
      </c>
      <c r="C1" s="9" t="s">
        <v>30</v>
      </c>
      <c r="D1" s="9" t="s">
        <v>40</v>
      </c>
      <c r="E1" s="74" t="s">
        <v>31</v>
      </c>
      <c r="F1" s="74"/>
      <c r="G1" s="74"/>
      <c r="H1" s="74"/>
      <c r="I1" s="74" t="s">
        <v>36</v>
      </c>
      <c r="J1" s="74"/>
      <c r="K1" s="74"/>
      <c r="L1" s="74"/>
      <c r="M1" s="74" t="s">
        <v>37</v>
      </c>
      <c r="N1" s="74"/>
      <c r="O1" s="64" t="s">
        <v>53</v>
      </c>
      <c r="P1" s="65"/>
      <c r="Q1" s="66"/>
      <c r="R1" s="64" t="s">
        <v>52</v>
      </c>
      <c r="S1" s="66"/>
    </row>
    <row r="2" spans="1:19" x14ac:dyDescent="0.25">
      <c r="A2" s="62" t="s">
        <v>54</v>
      </c>
      <c r="B2" s="62"/>
      <c r="C2" s="62"/>
      <c r="D2" s="63"/>
      <c r="E2" s="10" t="s">
        <v>49</v>
      </c>
      <c r="F2" s="10" t="s">
        <v>50</v>
      </c>
      <c r="G2" s="10" t="s">
        <v>34</v>
      </c>
      <c r="H2" s="10" t="s">
        <v>50</v>
      </c>
      <c r="I2" s="10" t="s">
        <v>49</v>
      </c>
      <c r="J2" s="10" t="s">
        <v>50</v>
      </c>
      <c r="K2" s="10" t="s">
        <v>34</v>
      </c>
      <c r="L2" s="10" t="s">
        <v>50</v>
      </c>
      <c r="M2" s="10" t="s">
        <v>49</v>
      </c>
      <c r="N2" s="10" t="s">
        <v>50</v>
      </c>
      <c r="O2" s="67"/>
      <c r="P2" s="68"/>
      <c r="Q2" s="69"/>
      <c r="R2" s="67"/>
      <c r="S2" s="69"/>
    </row>
    <row r="3" spans="1:19" x14ac:dyDescent="0.25">
      <c r="A3" s="61" t="s">
        <v>12</v>
      </c>
      <c r="B3" s="62"/>
      <c r="C3" s="62"/>
      <c r="D3" s="63"/>
      <c r="E3" s="10">
        <f>Hoja3!I11</f>
        <v>0.25</v>
      </c>
      <c r="F3" s="10">
        <f>Hoja3!I12</f>
        <v>0.5</v>
      </c>
      <c r="G3" s="10">
        <f>Hoja3!I13</f>
        <v>0.16666666666666663</v>
      </c>
      <c r="H3" s="10">
        <f>Hoja3!I14</f>
        <v>8.333333333333337E-2</v>
      </c>
      <c r="I3" s="10">
        <f>Hoja3!I15</f>
        <v>0.33333333333333331</v>
      </c>
      <c r="J3" s="10">
        <f>Hoja3!I16</f>
        <v>0.45833333333333331</v>
      </c>
      <c r="K3" s="10">
        <f>Hoja3!I17</f>
        <v>8.333333333333337E-2</v>
      </c>
      <c r="L3" s="10">
        <f>Hoja3!I18</f>
        <v>0.125</v>
      </c>
      <c r="M3" s="10">
        <f>Hoja3!I19</f>
        <v>0.75</v>
      </c>
      <c r="N3" s="10">
        <f>Hoja3!I20</f>
        <v>0.25</v>
      </c>
      <c r="O3" s="70"/>
      <c r="P3" s="71"/>
      <c r="Q3" s="72"/>
      <c r="R3" s="70"/>
      <c r="S3" s="72"/>
    </row>
    <row r="4" spans="1:19" x14ac:dyDescent="0.25">
      <c r="A4" s="61" t="s">
        <v>11</v>
      </c>
      <c r="B4" s="62"/>
      <c r="C4" s="62"/>
      <c r="D4" s="63"/>
      <c r="E4" s="10">
        <v>0.25</v>
      </c>
      <c r="F4" s="10">
        <v>0.58333333333333337</v>
      </c>
      <c r="G4" s="10">
        <v>8.3333333333333259E-2</v>
      </c>
      <c r="H4" s="10">
        <v>8.333333333333337E-2</v>
      </c>
      <c r="I4" s="10">
        <v>0.29166666666666669</v>
      </c>
      <c r="J4" s="10">
        <v>0.70833333333333326</v>
      </c>
      <c r="K4" s="10">
        <v>0</v>
      </c>
      <c r="L4" s="10">
        <v>0</v>
      </c>
      <c r="M4" s="10">
        <v>0.79166666666666663</v>
      </c>
      <c r="N4" s="10">
        <v>0.20833333333333337</v>
      </c>
      <c r="O4" s="22" t="s">
        <v>49</v>
      </c>
      <c r="P4" s="22" t="s">
        <v>50</v>
      </c>
      <c r="Q4" s="22" t="s">
        <v>34</v>
      </c>
      <c r="R4" s="22" t="s">
        <v>49</v>
      </c>
      <c r="S4" s="22" t="s">
        <v>33</v>
      </c>
    </row>
    <row r="5" spans="1:19" x14ac:dyDescent="0.25">
      <c r="A5" s="13" t="s">
        <v>42</v>
      </c>
      <c r="B5" s="13">
        <v>1</v>
      </c>
      <c r="C5" s="13" t="s">
        <v>20</v>
      </c>
      <c r="D5" s="13">
        <v>2025</v>
      </c>
      <c r="E5" s="13">
        <v>6</v>
      </c>
      <c r="F5" s="13">
        <v>12</v>
      </c>
      <c r="G5" s="13">
        <v>4</v>
      </c>
      <c r="H5" s="13">
        <v>2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f>SUM(E5,I5,M5)</f>
        <v>6</v>
      </c>
      <c r="P5" s="13">
        <f>SUM(F5,H5,J5,L5,N5)</f>
        <v>14</v>
      </c>
      <c r="Q5" s="13">
        <f>SUM(G5,K5)</f>
        <v>4</v>
      </c>
      <c r="R5" s="13">
        <v>0</v>
      </c>
      <c r="S5" s="13">
        <v>12</v>
      </c>
    </row>
    <row r="6" spans="1:19" x14ac:dyDescent="0.25">
      <c r="A6" s="13" t="s">
        <v>43</v>
      </c>
      <c r="B6" s="13">
        <v>2</v>
      </c>
      <c r="C6" s="13" t="s">
        <v>20</v>
      </c>
      <c r="D6" s="13">
        <v>2025</v>
      </c>
      <c r="E6" s="13">
        <v>6</v>
      </c>
      <c r="F6" s="13">
        <v>12</v>
      </c>
      <c r="G6" s="13">
        <v>4</v>
      </c>
      <c r="H6" s="13">
        <v>2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f t="shared" ref="O6:O69" si="0">SUM(E6,I6,M6)</f>
        <v>6</v>
      </c>
      <c r="P6" s="13">
        <f t="shared" ref="P6:P69" si="1">SUM(F6,H6,J6,L6,N6)</f>
        <v>14</v>
      </c>
      <c r="Q6" s="13">
        <f t="shared" ref="Q6:Q69" si="2">SUM(G6,K6)</f>
        <v>4</v>
      </c>
      <c r="R6" s="13">
        <v>0</v>
      </c>
      <c r="S6" s="13">
        <v>12</v>
      </c>
    </row>
    <row r="7" spans="1:19" x14ac:dyDescent="0.25">
      <c r="A7" s="13" t="s">
        <v>44</v>
      </c>
      <c r="B7" s="13">
        <v>3</v>
      </c>
      <c r="C7" s="13" t="s">
        <v>20</v>
      </c>
      <c r="D7" s="13">
        <v>2025</v>
      </c>
      <c r="E7" s="13">
        <v>6</v>
      </c>
      <c r="F7" s="13">
        <v>12</v>
      </c>
      <c r="G7" s="13">
        <v>4</v>
      </c>
      <c r="H7" s="13">
        <v>2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f t="shared" si="0"/>
        <v>6</v>
      </c>
      <c r="P7" s="13">
        <f t="shared" si="1"/>
        <v>14</v>
      </c>
      <c r="Q7" s="13">
        <f t="shared" si="2"/>
        <v>4</v>
      </c>
      <c r="R7" s="13">
        <v>0</v>
      </c>
      <c r="S7" s="13">
        <v>12</v>
      </c>
    </row>
    <row r="8" spans="1:19" x14ac:dyDescent="0.25">
      <c r="A8" s="13" t="s">
        <v>36</v>
      </c>
      <c r="B8" s="13">
        <v>4</v>
      </c>
      <c r="C8" s="13" t="s">
        <v>20</v>
      </c>
      <c r="D8" s="13">
        <v>2025</v>
      </c>
      <c r="E8" s="13">
        <v>0</v>
      </c>
      <c r="F8" s="13">
        <v>0</v>
      </c>
      <c r="G8" s="13">
        <v>0</v>
      </c>
      <c r="H8" s="13">
        <v>0</v>
      </c>
      <c r="I8" s="13">
        <v>8</v>
      </c>
      <c r="J8" s="13">
        <v>11</v>
      </c>
      <c r="K8" s="13">
        <v>2</v>
      </c>
      <c r="L8" s="13">
        <v>3</v>
      </c>
      <c r="M8" s="13">
        <v>0</v>
      </c>
      <c r="N8" s="13">
        <v>0</v>
      </c>
      <c r="O8" s="13">
        <f t="shared" si="0"/>
        <v>8</v>
      </c>
      <c r="P8" s="13">
        <f t="shared" si="1"/>
        <v>14</v>
      </c>
      <c r="Q8" s="13">
        <f t="shared" si="2"/>
        <v>2</v>
      </c>
      <c r="R8" s="13">
        <v>1</v>
      </c>
      <c r="S8" s="13">
        <v>11</v>
      </c>
    </row>
    <row r="9" spans="1:19" x14ac:dyDescent="0.25">
      <c r="A9" s="13" t="s">
        <v>45</v>
      </c>
      <c r="B9" s="13">
        <v>5</v>
      </c>
      <c r="C9" s="13" t="s">
        <v>20</v>
      </c>
      <c r="D9" s="13">
        <v>2025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18</v>
      </c>
      <c r="N9" s="13">
        <v>6</v>
      </c>
      <c r="O9" s="13">
        <f t="shared" si="0"/>
        <v>18</v>
      </c>
      <c r="P9" s="13">
        <f t="shared" si="1"/>
        <v>6</v>
      </c>
      <c r="Q9" s="13">
        <f t="shared" si="2"/>
        <v>0</v>
      </c>
      <c r="R9" s="13">
        <v>12</v>
      </c>
      <c r="S9" s="13">
        <v>0</v>
      </c>
    </row>
    <row r="10" spans="1:19" x14ac:dyDescent="0.25">
      <c r="A10" s="13" t="s">
        <v>46</v>
      </c>
      <c r="B10" s="13">
        <v>6</v>
      </c>
      <c r="C10" s="13" t="s">
        <v>20</v>
      </c>
      <c r="D10" s="13">
        <v>2025</v>
      </c>
      <c r="E10" s="13">
        <v>6</v>
      </c>
      <c r="F10" s="13">
        <v>12</v>
      </c>
      <c r="G10" s="13">
        <v>4</v>
      </c>
      <c r="H10" s="13">
        <v>2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f t="shared" si="0"/>
        <v>6</v>
      </c>
      <c r="P10" s="13">
        <f t="shared" si="1"/>
        <v>14</v>
      </c>
      <c r="Q10" s="13">
        <f t="shared" si="2"/>
        <v>4</v>
      </c>
      <c r="R10" s="13">
        <v>0</v>
      </c>
      <c r="S10" s="13">
        <v>12</v>
      </c>
    </row>
    <row r="11" spans="1:19" x14ac:dyDescent="0.25">
      <c r="A11" s="13" t="s">
        <v>47</v>
      </c>
      <c r="B11" s="13">
        <v>7</v>
      </c>
      <c r="C11" s="13" t="s">
        <v>20</v>
      </c>
      <c r="D11" s="13">
        <v>2025</v>
      </c>
      <c r="E11" s="13">
        <v>6</v>
      </c>
      <c r="F11" s="13">
        <v>12</v>
      </c>
      <c r="G11" s="13">
        <v>4</v>
      </c>
      <c r="H11" s="13">
        <v>2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f t="shared" si="0"/>
        <v>6</v>
      </c>
      <c r="P11" s="13">
        <f t="shared" si="1"/>
        <v>14</v>
      </c>
      <c r="Q11" s="13">
        <f t="shared" si="2"/>
        <v>4</v>
      </c>
      <c r="R11" s="13">
        <v>0</v>
      </c>
      <c r="S11" s="13">
        <v>12</v>
      </c>
    </row>
    <row r="12" spans="1:19" x14ac:dyDescent="0.25">
      <c r="A12" s="13" t="s">
        <v>42</v>
      </c>
      <c r="B12" s="13">
        <v>8</v>
      </c>
      <c r="C12" s="13" t="s">
        <v>20</v>
      </c>
      <c r="D12" s="13">
        <v>2025</v>
      </c>
      <c r="E12" s="13">
        <v>6</v>
      </c>
      <c r="F12" s="13">
        <v>12</v>
      </c>
      <c r="G12" s="13">
        <v>4</v>
      </c>
      <c r="H12" s="13">
        <v>2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f t="shared" si="0"/>
        <v>6</v>
      </c>
      <c r="P12" s="13">
        <f t="shared" si="1"/>
        <v>14</v>
      </c>
      <c r="Q12" s="13">
        <f t="shared" si="2"/>
        <v>4</v>
      </c>
      <c r="R12" s="13">
        <v>0</v>
      </c>
      <c r="S12" s="13">
        <v>12</v>
      </c>
    </row>
    <row r="13" spans="1:19" x14ac:dyDescent="0.25">
      <c r="A13" s="13" t="s">
        <v>43</v>
      </c>
      <c r="B13" s="13">
        <v>9</v>
      </c>
      <c r="C13" s="13" t="s">
        <v>20</v>
      </c>
      <c r="D13" s="13">
        <v>2025</v>
      </c>
      <c r="E13" s="13">
        <v>6</v>
      </c>
      <c r="F13" s="13">
        <v>12</v>
      </c>
      <c r="G13" s="13">
        <v>4</v>
      </c>
      <c r="H13" s="13">
        <v>2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f t="shared" si="0"/>
        <v>6</v>
      </c>
      <c r="P13" s="13">
        <f t="shared" si="1"/>
        <v>14</v>
      </c>
      <c r="Q13" s="13">
        <f t="shared" si="2"/>
        <v>4</v>
      </c>
      <c r="R13" s="13">
        <v>0</v>
      </c>
      <c r="S13" s="13">
        <v>12</v>
      </c>
    </row>
    <row r="14" spans="1:19" x14ac:dyDescent="0.25">
      <c r="A14" s="13" t="s">
        <v>44</v>
      </c>
      <c r="B14" s="13">
        <v>10</v>
      </c>
      <c r="C14" s="13" t="s">
        <v>20</v>
      </c>
      <c r="D14" s="13">
        <v>2025</v>
      </c>
      <c r="E14" s="13">
        <v>6</v>
      </c>
      <c r="F14" s="13">
        <v>12</v>
      </c>
      <c r="G14" s="13">
        <v>4</v>
      </c>
      <c r="H14" s="13">
        <v>2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f t="shared" si="0"/>
        <v>6</v>
      </c>
      <c r="P14" s="13">
        <f t="shared" si="1"/>
        <v>14</v>
      </c>
      <c r="Q14" s="13">
        <f t="shared" si="2"/>
        <v>4</v>
      </c>
      <c r="R14" s="13">
        <v>0</v>
      </c>
      <c r="S14" s="13">
        <v>12</v>
      </c>
    </row>
    <row r="15" spans="1:19" x14ac:dyDescent="0.25">
      <c r="A15" s="13" t="s">
        <v>36</v>
      </c>
      <c r="B15" s="13">
        <v>11</v>
      </c>
      <c r="C15" s="13" t="s">
        <v>20</v>
      </c>
      <c r="D15" s="13">
        <v>2025</v>
      </c>
      <c r="E15" s="13">
        <v>0</v>
      </c>
      <c r="F15" s="13">
        <v>0</v>
      </c>
      <c r="G15" s="13">
        <v>0</v>
      </c>
      <c r="H15" s="13">
        <v>0</v>
      </c>
      <c r="I15" s="13">
        <v>8</v>
      </c>
      <c r="J15" s="13">
        <v>11</v>
      </c>
      <c r="K15" s="13">
        <v>2</v>
      </c>
      <c r="L15" s="13">
        <v>3</v>
      </c>
      <c r="M15" s="13">
        <v>0</v>
      </c>
      <c r="N15" s="13">
        <v>0</v>
      </c>
      <c r="O15" s="13">
        <f t="shared" si="0"/>
        <v>8</v>
      </c>
      <c r="P15" s="13">
        <f t="shared" si="1"/>
        <v>14</v>
      </c>
      <c r="Q15" s="13">
        <f t="shared" si="2"/>
        <v>2</v>
      </c>
      <c r="R15" s="13">
        <v>1</v>
      </c>
      <c r="S15" s="13">
        <v>11</v>
      </c>
    </row>
    <row r="16" spans="1:19" x14ac:dyDescent="0.25">
      <c r="A16" s="13" t="s">
        <v>45</v>
      </c>
      <c r="B16" s="13">
        <v>12</v>
      </c>
      <c r="C16" s="13" t="s">
        <v>20</v>
      </c>
      <c r="D16" s="13">
        <v>2025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18</v>
      </c>
      <c r="N16" s="13">
        <v>6</v>
      </c>
      <c r="O16" s="13">
        <f t="shared" si="0"/>
        <v>18</v>
      </c>
      <c r="P16" s="13">
        <f t="shared" si="1"/>
        <v>6</v>
      </c>
      <c r="Q16" s="13">
        <f t="shared" si="2"/>
        <v>0</v>
      </c>
      <c r="R16" s="13">
        <v>12</v>
      </c>
      <c r="S16" s="13">
        <v>0</v>
      </c>
    </row>
    <row r="17" spans="1:19" x14ac:dyDescent="0.25">
      <c r="A17" s="13" t="s">
        <v>46</v>
      </c>
      <c r="B17" s="13">
        <v>13</v>
      </c>
      <c r="C17" s="13" t="s">
        <v>20</v>
      </c>
      <c r="D17" s="13">
        <v>2025</v>
      </c>
      <c r="E17" s="13">
        <v>6</v>
      </c>
      <c r="F17" s="13">
        <v>12</v>
      </c>
      <c r="G17" s="13">
        <v>4</v>
      </c>
      <c r="H17" s="13">
        <v>2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f t="shared" si="0"/>
        <v>6</v>
      </c>
      <c r="P17" s="13">
        <f t="shared" si="1"/>
        <v>14</v>
      </c>
      <c r="Q17" s="13">
        <f t="shared" si="2"/>
        <v>4</v>
      </c>
      <c r="R17" s="13">
        <v>0</v>
      </c>
      <c r="S17" s="13">
        <v>12</v>
      </c>
    </row>
    <row r="18" spans="1:19" x14ac:dyDescent="0.25">
      <c r="A18" s="13" t="s">
        <v>47</v>
      </c>
      <c r="B18" s="13">
        <v>14</v>
      </c>
      <c r="C18" s="13" t="s">
        <v>20</v>
      </c>
      <c r="D18" s="13">
        <v>2025</v>
      </c>
      <c r="E18" s="13">
        <v>6</v>
      </c>
      <c r="F18" s="13">
        <v>12</v>
      </c>
      <c r="G18" s="13">
        <v>4</v>
      </c>
      <c r="H18" s="13">
        <v>2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f t="shared" si="0"/>
        <v>6</v>
      </c>
      <c r="P18" s="13">
        <f t="shared" si="1"/>
        <v>14</v>
      </c>
      <c r="Q18" s="13">
        <f t="shared" si="2"/>
        <v>4</v>
      </c>
      <c r="R18" s="13">
        <v>0</v>
      </c>
      <c r="S18" s="13">
        <v>12</v>
      </c>
    </row>
    <row r="19" spans="1:19" x14ac:dyDescent="0.25">
      <c r="A19" s="13" t="s">
        <v>42</v>
      </c>
      <c r="B19" s="13">
        <v>15</v>
      </c>
      <c r="C19" s="13" t="s">
        <v>20</v>
      </c>
      <c r="D19" s="13">
        <v>2025</v>
      </c>
      <c r="E19" s="13">
        <v>6</v>
      </c>
      <c r="F19" s="13">
        <v>12</v>
      </c>
      <c r="G19" s="13">
        <v>4</v>
      </c>
      <c r="H19" s="13">
        <v>2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f t="shared" si="0"/>
        <v>6</v>
      </c>
      <c r="P19" s="13">
        <f t="shared" si="1"/>
        <v>14</v>
      </c>
      <c r="Q19" s="13">
        <f t="shared" si="2"/>
        <v>4</v>
      </c>
      <c r="R19" s="13">
        <v>0</v>
      </c>
      <c r="S19" s="13">
        <v>12</v>
      </c>
    </row>
    <row r="20" spans="1:19" x14ac:dyDescent="0.25">
      <c r="A20" s="13" t="s">
        <v>43</v>
      </c>
      <c r="B20" s="13">
        <v>16</v>
      </c>
      <c r="C20" s="13" t="s">
        <v>20</v>
      </c>
      <c r="D20" s="13">
        <v>2025</v>
      </c>
      <c r="E20" s="13">
        <v>6</v>
      </c>
      <c r="F20" s="13">
        <v>12</v>
      </c>
      <c r="G20" s="13">
        <v>4</v>
      </c>
      <c r="H20" s="13">
        <v>2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f t="shared" si="0"/>
        <v>6</v>
      </c>
      <c r="P20" s="13">
        <f t="shared" si="1"/>
        <v>14</v>
      </c>
      <c r="Q20" s="13">
        <f t="shared" si="2"/>
        <v>4</v>
      </c>
      <c r="R20" s="13">
        <v>0</v>
      </c>
      <c r="S20" s="13">
        <v>12</v>
      </c>
    </row>
    <row r="21" spans="1:19" x14ac:dyDescent="0.25">
      <c r="A21" s="13" t="s">
        <v>44</v>
      </c>
      <c r="B21" s="13">
        <v>17</v>
      </c>
      <c r="C21" s="13" t="s">
        <v>20</v>
      </c>
      <c r="D21" s="13">
        <v>2025</v>
      </c>
      <c r="E21" s="13">
        <v>6</v>
      </c>
      <c r="F21" s="13">
        <v>12</v>
      </c>
      <c r="G21" s="13">
        <v>4</v>
      </c>
      <c r="H21" s="13">
        <v>2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f t="shared" si="0"/>
        <v>6</v>
      </c>
      <c r="P21" s="13">
        <f t="shared" si="1"/>
        <v>14</v>
      </c>
      <c r="Q21" s="13">
        <f t="shared" si="2"/>
        <v>4</v>
      </c>
      <c r="R21" s="13">
        <v>0</v>
      </c>
      <c r="S21" s="13">
        <v>12</v>
      </c>
    </row>
    <row r="22" spans="1:19" x14ac:dyDescent="0.25">
      <c r="A22" s="13" t="s">
        <v>36</v>
      </c>
      <c r="B22" s="13">
        <v>18</v>
      </c>
      <c r="C22" s="13" t="s">
        <v>20</v>
      </c>
      <c r="D22" s="13">
        <v>2025</v>
      </c>
      <c r="E22" s="13">
        <v>0</v>
      </c>
      <c r="F22" s="13">
        <v>0</v>
      </c>
      <c r="G22" s="13">
        <v>0</v>
      </c>
      <c r="H22" s="13">
        <v>0</v>
      </c>
      <c r="I22" s="13">
        <v>8</v>
      </c>
      <c r="J22" s="13">
        <v>11</v>
      </c>
      <c r="K22" s="13">
        <v>2</v>
      </c>
      <c r="L22" s="13">
        <v>3</v>
      </c>
      <c r="M22" s="13">
        <v>0</v>
      </c>
      <c r="N22" s="13">
        <v>0</v>
      </c>
      <c r="O22" s="13">
        <f t="shared" si="0"/>
        <v>8</v>
      </c>
      <c r="P22" s="13">
        <f t="shared" si="1"/>
        <v>14</v>
      </c>
      <c r="Q22" s="13">
        <f t="shared" si="2"/>
        <v>2</v>
      </c>
      <c r="R22" s="13">
        <v>1</v>
      </c>
      <c r="S22" s="13">
        <v>11</v>
      </c>
    </row>
    <row r="23" spans="1:19" x14ac:dyDescent="0.25">
      <c r="A23" s="13" t="s">
        <v>45</v>
      </c>
      <c r="B23" s="13">
        <v>19</v>
      </c>
      <c r="C23" s="13" t="s">
        <v>20</v>
      </c>
      <c r="D23" s="13">
        <v>2025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18</v>
      </c>
      <c r="N23" s="13">
        <v>6</v>
      </c>
      <c r="O23" s="13">
        <f t="shared" si="0"/>
        <v>18</v>
      </c>
      <c r="P23" s="13">
        <f t="shared" si="1"/>
        <v>6</v>
      </c>
      <c r="Q23" s="13">
        <f t="shared" si="2"/>
        <v>0</v>
      </c>
      <c r="R23" s="13">
        <v>12</v>
      </c>
      <c r="S23" s="13">
        <v>0</v>
      </c>
    </row>
    <row r="24" spans="1:19" x14ac:dyDescent="0.25">
      <c r="A24" s="13" t="s">
        <v>46</v>
      </c>
      <c r="B24" s="13">
        <v>20</v>
      </c>
      <c r="C24" s="13" t="s">
        <v>20</v>
      </c>
      <c r="D24" s="13">
        <v>2025</v>
      </c>
      <c r="E24" s="13">
        <v>6</v>
      </c>
      <c r="F24" s="13">
        <v>12</v>
      </c>
      <c r="G24" s="13">
        <v>4</v>
      </c>
      <c r="H24" s="13">
        <v>2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f t="shared" si="0"/>
        <v>6</v>
      </c>
      <c r="P24" s="13">
        <f t="shared" si="1"/>
        <v>14</v>
      </c>
      <c r="Q24" s="13">
        <f t="shared" si="2"/>
        <v>4</v>
      </c>
      <c r="R24" s="13">
        <v>0</v>
      </c>
      <c r="S24" s="13">
        <v>12</v>
      </c>
    </row>
    <row r="25" spans="1:19" x14ac:dyDescent="0.25">
      <c r="A25" s="13" t="s">
        <v>47</v>
      </c>
      <c r="B25" s="13">
        <v>21</v>
      </c>
      <c r="C25" s="13" t="s">
        <v>20</v>
      </c>
      <c r="D25" s="13">
        <v>2025</v>
      </c>
      <c r="E25" s="13">
        <v>6</v>
      </c>
      <c r="F25" s="13">
        <v>12</v>
      </c>
      <c r="G25" s="13">
        <v>4</v>
      </c>
      <c r="H25" s="13">
        <v>2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f t="shared" si="0"/>
        <v>6</v>
      </c>
      <c r="P25" s="13">
        <f t="shared" si="1"/>
        <v>14</v>
      </c>
      <c r="Q25" s="13">
        <f t="shared" si="2"/>
        <v>4</v>
      </c>
      <c r="R25" s="13">
        <v>0</v>
      </c>
      <c r="S25" s="13">
        <v>12</v>
      </c>
    </row>
    <row r="26" spans="1:19" x14ac:dyDescent="0.25">
      <c r="A26" s="13" t="s">
        <v>42</v>
      </c>
      <c r="B26" s="13">
        <v>22</v>
      </c>
      <c r="C26" s="13" t="s">
        <v>20</v>
      </c>
      <c r="D26" s="13">
        <v>2025</v>
      </c>
      <c r="E26" s="13">
        <v>6</v>
      </c>
      <c r="F26" s="13">
        <v>12</v>
      </c>
      <c r="G26" s="13">
        <v>4</v>
      </c>
      <c r="H26" s="13">
        <v>2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f t="shared" si="0"/>
        <v>6</v>
      </c>
      <c r="P26" s="13">
        <f t="shared" si="1"/>
        <v>14</v>
      </c>
      <c r="Q26" s="13">
        <f t="shared" si="2"/>
        <v>4</v>
      </c>
      <c r="R26" s="13">
        <v>0</v>
      </c>
      <c r="S26" s="13">
        <v>12</v>
      </c>
    </row>
    <row r="27" spans="1:19" x14ac:dyDescent="0.25">
      <c r="A27" s="13" t="s">
        <v>43</v>
      </c>
      <c r="B27" s="13">
        <v>23</v>
      </c>
      <c r="C27" s="13" t="s">
        <v>20</v>
      </c>
      <c r="D27" s="13">
        <v>2025</v>
      </c>
      <c r="E27" s="13">
        <v>6</v>
      </c>
      <c r="F27" s="13">
        <v>12</v>
      </c>
      <c r="G27" s="13">
        <v>4</v>
      </c>
      <c r="H27" s="13">
        <v>2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f t="shared" si="0"/>
        <v>6</v>
      </c>
      <c r="P27" s="13">
        <f t="shared" si="1"/>
        <v>14</v>
      </c>
      <c r="Q27" s="13">
        <f t="shared" si="2"/>
        <v>4</v>
      </c>
      <c r="R27" s="13">
        <v>0</v>
      </c>
      <c r="S27" s="13">
        <v>12</v>
      </c>
    </row>
    <row r="28" spans="1:19" x14ac:dyDescent="0.25">
      <c r="A28" s="13" t="s">
        <v>44</v>
      </c>
      <c r="B28" s="13">
        <v>24</v>
      </c>
      <c r="C28" s="13" t="s">
        <v>20</v>
      </c>
      <c r="D28" s="13">
        <v>2025</v>
      </c>
      <c r="E28" s="13">
        <v>6</v>
      </c>
      <c r="F28" s="13">
        <v>12</v>
      </c>
      <c r="G28" s="13">
        <v>4</v>
      </c>
      <c r="H28" s="13">
        <v>2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f t="shared" si="0"/>
        <v>6</v>
      </c>
      <c r="P28" s="13">
        <f t="shared" si="1"/>
        <v>14</v>
      </c>
      <c r="Q28" s="13">
        <f t="shared" si="2"/>
        <v>4</v>
      </c>
      <c r="R28" s="13">
        <v>0</v>
      </c>
      <c r="S28" s="13">
        <v>12</v>
      </c>
    </row>
    <row r="29" spans="1:19" x14ac:dyDescent="0.25">
      <c r="A29" s="13" t="s">
        <v>36</v>
      </c>
      <c r="B29" s="13">
        <v>25</v>
      </c>
      <c r="C29" s="13" t="s">
        <v>20</v>
      </c>
      <c r="D29" s="13">
        <v>2025</v>
      </c>
      <c r="E29" s="13">
        <v>0</v>
      </c>
      <c r="F29" s="13">
        <v>0</v>
      </c>
      <c r="G29" s="13">
        <v>0</v>
      </c>
      <c r="H29" s="13">
        <v>0</v>
      </c>
      <c r="I29" s="13">
        <v>8</v>
      </c>
      <c r="J29" s="13">
        <v>11</v>
      </c>
      <c r="K29" s="13">
        <v>2</v>
      </c>
      <c r="L29" s="13">
        <v>3</v>
      </c>
      <c r="M29" s="13">
        <v>0</v>
      </c>
      <c r="N29" s="13">
        <v>0</v>
      </c>
      <c r="O29" s="13">
        <f t="shared" si="0"/>
        <v>8</v>
      </c>
      <c r="P29" s="13">
        <f t="shared" si="1"/>
        <v>14</v>
      </c>
      <c r="Q29" s="13">
        <f t="shared" si="2"/>
        <v>2</v>
      </c>
      <c r="R29" s="13">
        <v>1</v>
      </c>
      <c r="S29" s="13">
        <v>11</v>
      </c>
    </row>
    <row r="30" spans="1:19" x14ac:dyDescent="0.25">
      <c r="A30" s="13" t="s">
        <v>45</v>
      </c>
      <c r="B30" s="13">
        <v>26</v>
      </c>
      <c r="C30" s="13" t="s">
        <v>20</v>
      </c>
      <c r="D30" s="13">
        <v>2025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18</v>
      </c>
      <c r="N30" s="13">
        <v>6</v>
      </c>
      <c r="O30" s="13">
        <f t="shared" si="0"/>
        <v>18</v>
      </c>
      <c r="P30" s="13">
        <f t="shared" si="1"/>
        <v>6</v>
      </c>
      <c r="Q30" s="13">
        <f t="shared" si="2"/>
        <v>0</v>
      </c>
      <c r="R30" s="13">
        <v>12</v>
      </c>
      <c r="S30" s="13">
        <v>0</v>
      </c>
    </row>
    <row r="31" spans="1:19" x14ac:dyDescent="0.25">
      <c r="A31" s="13" t="s">
        <v>46</v>
      </c>
      <c r="B31" s="13">
        <v>27</v>
      </c>
      <c r="C31" s="13" t="s">
        <v>20</v>
      </c>
      <c r="D31" s="13">
        <v>2025</v>
      </c>
      <c r="E31" s="13">
        <v>6</v>
      </c>
      <c r="F31" s="13">
        <v>12</v>
      </c>
      <c r="G31" s="13">
        <v>4</v>
      </c>
      <c r="H31" s="13">
        <v>2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f t="shared" si="0"/>
        <v>6</v>
      </c>
      <c r="P31" s="13">
        <f t="shared" si="1"/>
        <v>14</v>
      </c>
      <c r="Q31" s="13">
        <f t="shared" si="2"/>
        <v>4</v>
      </c>
      <c r="R31" s="13">
        <v>0</v>
      </c>
      <c r="S31" s="13">
        <v>12</v>
      </c>
    </row>
    <row r="32" spans="1:19" x14ac:dyDescent="0.25">
      <c r="A32" s="13" t="s">
        <v>47</v>
      </c>
      <c r="B32" s="13">
        <v>28</v>
      </c>
      <c r="C32" s="13" t="s">
        <v>20</v>
      </c>
      <c r="D32" s="13">
        <v>2025</v>
      </c>
      <c r="E32" s="13">
        <v>6</v>
      </c>
      <c r="F32" s="13">
        <v>12</v>
      </c>
      <c r="G32" s="13">
        <v>4</v>
      </c>
      <c r="H32" s="13">
        <v>2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f t="shared" si="0"/>
        <v>6</v>
      </c>
      <c r="P32" s="13">
        <f t="shared" si="1"/>
        <v>14</v>
      </c>
      <c r="Q32" s="13">
        <f t="shared" si="2"/>
        <v>4</v>
      </c>
      <c r="R32" s="13">
        <v>0</v>
      </c>
      <c r="S32" s="13">
        <v>12</v>
      </c>
    </row>
    <row r="33" spans="1:19" x14ac:dyDescent="0.25">
      <c r="A33" s="13" t="s">
        <v>42</v>
      </c>
      <c r="B33" s="13">
        <v>29</v>
      </c>
      <c r="C33" s="13" t="s">
        <v>20</v>
      </c>
      <c r="D33" s="13">
        <v>2025</v>
      </c>
      <c r="E33" s="13">
        <v>6</v>
      </c>
      <c r="F33" s="13">
        <v>12</v>
      </c>
      <c r="G33" s="13">
        <v>4</v>
      </c>
      <c r="H33" s="13">
        <v>2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f t="shared" si="0"/>
        <v>6</v>
      </c>
      <c r="P33" s="13">
        <f t="shared" si="1"/>
        <v>14</v>
      </c>
      <c r="Q33" s="13">
        <f t="shared" si="2"/>
        <v>4</v>
      </c>
      <c r="R33" s="13">
        <v>0</v>
      </c>
      <c r="S33" s="13">
        <v>12</v>
      </c>
    </row>
    <row r="34" spans="1:19" x14ac:dyDescent="0.25">
      <c r="A34" s="13" t="s">
        <v>43</v>
      </c>
      <c r="B34" s="13">
        <v>30</v>
      </c>
      <c r="C34" s="13" t="s">
        <v>20</v>
      </c>
      <c r="D34" s="13">
        <v>2025</v>
      </c>
      <c r="E34" s="13">
        <v>6</v>
      </c>
      <c r="F34" s="13">
        <v>12</v>
      </c>
      <c r="G34" s="13">
        <v>4</v>
      </c>
      <c r="H34" s="13">
        <v>2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f t="shared" si="0"/>
        <v>6</v>
      </c>
      <c r="P34" s="13">
        <f t="shared" si="1"/>
        <v>14</v>
      </c>
      <c r="Q34" s="13">
        <f t="shared" si="2"/>
        <v>4</v>
      </c>
      <c r="R34" s="13">
        <v>0</v>
      </c>
      <c r="S34" s="13">
        <v>12</v>
      </c>
    </row>
    <row r="35" spans="1:19" x14ac:dyDescent="0.25">
      <c r="A35" s="13" t="s">
        <v>44</v>
      </c>
      <c r="B35" s="13">
        <v>31</v>
      </c>
      <c r="C35" s="13" t="s">
        <v>20</v>
      </c>
      <c r="D35" s="13">
        <v>2025</v>
      </c>
      <c r="E35" s="13">
        <v>6</v>
      </c>
      <c r="F35" s="13">
        <v>12</v>
      </c>
      <c r="G35" s="13">
        <v>4</v>
      </c>
      <c r="H35" s="13">
        <v>2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f t="shared" si="0"/>
        <v>6</v>
      </c>
      <c r="P35" s="13">
        <f t="shared" si="1"/>
        <v>14</v>
      </c>
      <c r="Q35" s="13">
        <f t="shared" si="2"/>
        <v>4</v>
      </c>
      <c r="R35" s="13">
        <v>0</v>
      </c>
      <c r="S35" s="13">
        <v>12</v>
      </c>
    </row>
    <row r="36" spans="1:19" x14ac:dyDescent="0.25">
      <c r="A36" s="12" t="s">
        <v>36</v>
      </c>
      <c r="B36" s="12">
        <v>1</v>
      </c>
      <c r="C36" s="12" t="s">
        <v>21</v>
      </c>
      <c r="D36" s="12">
        <v>2025</v>
      </c>
      <c r="E36" s="12">
        <v>0</v>
      </c>
      <c r="F36" s="12">
        <v>0</v>
      </c>
      <c r="G36" s="12">
        <v>0</v>
      </c>
      <c r="H36" s="12">
        <v>0</v>
      </c>
      <c r="I36" s="12">
        <v>8</v>
      </c>
      <c r="J36" s="12">
        <v>11</v>
      </c>
      <c r="K36" s="12">
        <v>2</v>
      </c>
      <c r="L36" s="12">
        <v>3</v>
      </c>
      <c r="M36" s="12">
        <v>0</v>
      </c>
      <c r="N36" s="12">
        <v>0</v>
      </c>
      <c r="O36" s="12">
        <f t="shared" si="0"/>
        <v>8</v>
      </c>
      <c r="P36" s="12">
        <f t="shared" si="1"/>
        <v>14</v>
      </c>
      <c r="Q36" s="12">
        <f t="shared" si="2"/>
        <v>2</v>
      </c>
      <c r="R36" s="12">
        <v>1</v>
      </c>
      <c r="S36" s="12">
        <v>11</v>
      </c>
    </row>
    <row r="37" spans="1:19" x14ac:dyDescent="0.25">
      <c r="A37" s="12" t="s">
        <v>45</v>
      </c>
      <c r="B37" s="12">
        <v>2</v>
      </c>
      <c r="C37" s="12" t="s">
        <v>21</v>
      </c>
      <c r="D37" s="12">
        <v>2025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18</v>
      </c>
      <c r="N37" s="12">
        <v>6</v>
      </c>
      <c r="O37" s="12">
        <f t="shared" si="0"/>
        <v>18</v>
      </c>
      <c r="P37" s="12">
        <f t="shared" si="1"/>
        <v>6</v>
      </c>
      <c r="Q37" s="12">
        <f t="shared" si="2"/>
        <v>0</v>
      </c>
      <c r="R37" s="12">
        <v>12</v>
      </c>
      <c r="S37" s="12">
        <v>0</v>
      </c>
    </row>
    <row r="38" spans="1:19" x14ac:dyDescent="0.25">
      <c r="A38" s="12" t="s">
        <v>46</v>
      </c>
      <c r="B38" s="12">
        <v>3</v>
      </c>
      <c r="C38" s="12" t="s">
        <v>21</v>
      </c>
      <c r="D38" s="12">
        <v>2025</v>
      </c>
      <c r="E38" s="12">
        <v>6</v>
      </c>
      <c r="F38" s="12">
        <v>12</v>
      </c>
      <c r="G38" s="12">
        <v>4</v>
      </c>
      <c r="H38" s="12">
        <v>2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f t="shared" si="0"/>
        <v>6</v>
      </c>
      <c r="P38" s="12">
        <f t="shared" si="1"/>
        <v>14</v>
      </c>
      <c r="Q38" s="12">
        <f t="shared" si="2"/>
        <v>4</v>
      </c>
      <c r="R38" s="12">
        <v>0</v>
      </c>
      <c r="S38" s="12">
        <v>12</v>
      </c>
    </row>
    <row r="39" spans="1:19" x14ac:dyDescent="0.25">
      <c r="A39" s="12" t="s">
        <v>47</v>
      </c>
      <c r="B39" s="12">
        <v>4</v>
      </c>
      <c r="C39" s="12" t="s">
        <v>21</v>
      </c>
      <c r="D39" s="12">
        <v>2025</v>
      </c>
      <c r="E39" s="12">
        <v>6</v>
      </c>
      <c r="F39" s="12">
        <v>12</v>
      </c>
      <c r="G39" s="12">
        <v>4</v>
      </c>
      <c r="H39" s="12">
        <v>2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f t="shared" si="0"/>
        <v>6</v>
      </c>
      <c r="P39" s="12">
        <f t="shared" si="1"/>
        <v>14</v>
      </c>
      <c r="Q39" s="12">
        <f t="shared" si="2"/>
        <v>4</v>
      </c>
      <c r="R39" s="12">
        <v>0</v>
      </c>
      <c r="S39" s="12">
        <v>12</v>
      </c>
    </row>
    <row r="40" spans="1:19" x14ac:dyDescent="0.25">
      <c r="A40" s="12" t="s">
        <v>42</v>
      </c>
      <c r="B40" s="12">
        <v>5</v>
      </c>
      <c r="C40" s="12" t="s">
        <v>21</v>
      </c>
      <c r="D40" s="12">
        <v>2025</v>
      </c>
      <c r="E40" s="12">
        <v>6</v>
      </c>
      <c r="F40" s="12">
        <v>12</v>
      </c>
      <c r="G40" s="12">
        <v>4</v>
      </c>
      <c r="H40" s="12">
        <v>2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f t="shared" si="0"/>
        <v>6</v>
      </c>
      <c r="P40" s="12">
        <f t="shared" si="1"/>
        <v>14</v>
      </c>
      <c r="Q40" s="12">
        <f t="shared" si="2"/>
        <v>4</v>
      </c>
      <c r="R40" s="12">
        <v>0</v>
      </c>
      <c r="S40" s="12">
        <v>12</v>
      </c>
    </row>
    <row r="41" spans="1:19" x14ac:dyDescent="0.25">
      <c r="A41" s="12" t="s">
        <v>43</v>
      </c>
      <c r="B41" s="12">
        <v>6</v>
      </c>
      <c r="C41" s="12" t="s">
        <v>21</v>
      </c>
      <c r="D41" s="12">
        <v>2025</v>
      </c>
      <c r="E41" s="12">
        <v>6</v>
      </c>
      <c r="F41" s="12">
        <v>12</v>
      </c>
      <c r="G41" s="12">
        <v>4</v>
      </c>
      <c r="H41" s="12">
        <v>2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f t="shared" si="0"/>
        <v>6</v>
      </c>
      <c r="P41" s="12">
        <f t="shared" si="1"/>
        <v>14</v>
      </c>
      <c r="Q41" s="12">
        <f t="shared" si="2"/>
        <v>4</v>
      </c>
      <c r="R41" s="12">
        <v>0</v>
      </c>
      <c r="S41" s="12">
        <v>12</v>
      </c>
    </row>
    <row r="42" spans="1:19" x14ac:dyDescent="0.25">
      <c r="A42" s="12" t="s">
        <v>44</v>
      </c>
      <c r="B42" s="12">
        <v>7</v>
      </c>
      <c r="C42" s="12" t="s">
        <v>21</v>
      </c>
      <c r="D42" s="12">
        <v>2025</v>
      </c>
      <c r="E42" s="12">
        <v>6</v>
      </c>
      <c r="F42" s="12">
        <v>12</v>
      </c>
      <c r="G42" s="12">
        <v>4</v>
      </c>
      <c r="H42" s="12">
        <v>2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f t="shared" si="0"/>
        <v>6</v>
      </c>
      <c r="P42" s="12">
        <f t="shared" si="1"/>
        <v>14</v>
      </c>
      <c r="Q42" s="12">
        <f t="shared" si="2"/>
        <v>4</v>
      </c>
      <c r="R42" s="12">
        <v>0</v>
      </c>
      <c r="S42" s="12">
        <v>12</v>
      </c>
    </row>
    <row r="43" spans="1:19" x14ac:dyDescent="0.25">
      <c r="A43" s="12" t="s">
        <v>36</v>
      </c>
      <c r="B43" s="12">
        <v>8</v>
      </c>
      <c r="C43" s="12" t="s">
        <v>21</v>
      </c>
      <c r="D43" s="12">
        <v>2025</v>
      </c>
      <c r="E43" s="12">
        <v>0</v>
      </c>
      <c r="F43" s="12">
        <v>0</v>
      </c>
      <c r="G43" s="12">
        <v>0</v>
      </c>
      <c r="H43" s="12">
        <v>0</v>
      </c>
      <c r="I43" s="12">
        <v>8</v>
      </c>
      <c r="J43" s="12">
        <v>11</v>
      </c>
      <c r="K43" s="12">
        <v>2</v>
      </c>
      <c r="L43" s="12">
        <v>3</v>
      </c>
      <c r="M43" s="12">
        <v>0</v>
      </c>
      <c r="N43" s="12">
        <v>0</v>
      </c>
      <c r="O43" s="12">
        <f t="shared" si="0"/>
        <v>8</v>
      </c>
      <c r="P43" s="12">
        <f t="shared" si="1"/>
        <v>14</v>
      </c>
      <c r="Q43" s="12">
        <f t="shared" si="2"/>
        <v>2</v>
      </c>
      <c r="R43" s="12">
        <v>1</v>
      </c>
      <c r="S43" s="12">
        <v>11</v>
      </c>
    </row>
    <row r="44" spans="1:19" x14ac:dyDescent="0.25">
      <c r="A44" s="12" t="s">
        <v>45</v>
      </c>
      <c r="B44" s="12">
        <v>9</v>
      </c>
      <c r="C44" s="12" t="s">
        <v>21</v>
      </c>
      <c r="D44" s="12">
        <v>2025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18</v>
      </c>
      <c r="N44" s="12">
        <v>6</v>
      </c>
      <c r="O44" s="12">
        <f t="shared" si="0"/>
        <v>18</v>
      </c>
      <c r="P44" s="12">
        <f t="shared" si="1"/>
        <v>6</v>
      </c>
      <c r="Q44" s="12">
        <f t="shared" si="2"/>
        <v>0</v>
      </c>
      <c r="R44" s="12">
        <v>12</v>
      </c>
      <c r="S44" s="12">
        <v>0</v>
      </c>
    </row>
    <row r="45" spans="1:19" x14ac:dyDescent="0.25">
      <c r="A45" s="12" t="s">
        <v>46</v>
      </c>
      <c r="B45" s="12">
        <v>10</v>
      </c>
      <c r="C45" s="12" t="s">
        <v>21</v>
      </c>
      <c r="D45" s="12">
        <v>2025</v>
      </c>
      <c r="E45" s="12">
        <v>6</v>
      </c>
      <c r="F45" s="12">
        <v>12</v>
      </c>
      <c r="G45" s="12">
        <v>4</v>
      </c>
      <c r="H45" s="12">
        <v>2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f t="shared" si="0"/>
        <v>6</v>
      </c>
      <c r="P45" s="12">
        <f t="shared" si="1"/>
        <v>14</v>
      </c>
      <c r="Q45" s="12">
        <f t="shared" si="2"/>
        <v>4</v>
      </c>
      <c r="R45" s="12">
        <v>0</v>
      </c>
      <c r="S45" s="12">
        <v>12</v>
      </c>
    </row>
    <row r="46" spans="1:19" x14ac:dyDescent="0.25">
      <c r="A46" s="12" t="s">
        <v>47</v>
      </c>
      <c r="B46" s="12">
        <v>11</v>
      </c>
      <c r="C46" s="12" t="s">
        <v>21</v>
      </c>
      <c r="D46" s="12">
        <v>2025</v>
      </c>
      <c r="E46" s="12">
        <v>6</v>
      </c>
      <c r="F46" s="12">
        <v>12</v>
      </c>
      <c r="G46" s="12">
        <v>4</v>
      </c>
      <c r="H46" s="12">
        <v>2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f t="shared" si="0"/>
        <v>6</v>
      </c>
      <c r="P46" s="12">
        <f t="shared" si="1"/>
        <v>14</v>
      </c>
      <c r="Q46" s="12">
        <f t="shared" si="2"/>
        <v>4</v>
      </c>
      <c r="R46" s="12">
        <v>0</v>
      </c>
      <c r="S46" s="12">
        <v>12</v>
      </c>
    </row>
    <row r="47" spans="1:19" x14ac:dyDescent="0.25">
      <c r="A47" s="12" t="s">
        <v>42</v>
      </c>
      <c r="B47" s="12">
        <v>12</v>
      </c>
      <c r="C47" s="12" t="s">
        <v>21</v>
      </c>
      <c r="D47" s="12">
        <v>2025</v>
      </c>
      <c r="E47" s="12">
        <v>6</v>
      </c>
      <c r="F47" s="12">
        <v>12</v>
      </c>
      <c r="G47" s="12">
        <v>4</v>
      </c>
      <c r="H47" s="12">
        <v>2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f t="shared" si="0"/>
        <v>6</v>
      </c>
      <c r="P47" s="12">
        <f t="shared" si="1"/>
        <v>14</v>
      </c>
      <c r="Q47" s="12">
        <f t="shared" si="2"/>
        <v>4</v>
      </c>
      <c r="R47" s="12">
        <v>0</v>
      </c>
      <c r="S47" s="12">
        <v>12</v>
      </c>
    </row>
    <row r="48" spans="1:19" x14ac:dyDescent="0.25">
      <c r="A48" s="12" t="s">
        <v>43</v>
      </c>
      <c r="B48" s="12">
        <v>13</v>
      </c>
      <c r="C48" s="12" t="s">
        <v>21</v>
      </c>
      <c r="D48" s="12">
        <v>2025</v>
      </c>
      <c r="E48" s="12">
        <v>6</v>
      </c>
      <c r="F48" s="12">
        <v>12</v>
      </c>
      <c r="G48" s="12">
        <v>4</v>
      </c>
      <c r="H48" s="12">
        <v>2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f t="shared" si="0"/>
        <v>6</v>
      </c>
      <c r="P48" s="12">
        <f t="shared" si="1"/>
        <v>14</v>
      </c>
      <c r="Q48" s="12">
        <f t="shared" si="2"/>
        <v>4</v>
      </c>
      <c r="R48" s="12">
        <v>0</v>
      </c>
      <c r="S48" s="12">
        <v>12</v>
      </c>
    </row>
    <row r="49" spans="1:19" x14ac:dyDescent="0.25">
      <c r="A49" s="12" t="s">
        <v>44</v>
      </c>
      <c r="B49" s="12">
        <v>14</v>
      </c>
      <c r="C49" s="12" t="s">
        <v>21</v>
      </c>
      <c r="D49" s="12">
        <v>2025</v>
      </c>
      <c r="E49" s="12">
        <v>6</v>
      </c>
      <c r="F49" s="12">
        <v>12</v>
      </c>
      <c r="G49" s="12">
        <v>4</v>
      </c>
      <c r="H49" s="12">
        <v>2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f t="shared" si="0"/>
        <v>6</v>
      </c>
      <c r="P49" s="12">
        <f t="shared" si="1"/>
        <v>14</v>
      </c>
      <c r="Q49" s="12">
        <f t="shared" si="2"/>
        <v>4</v>
      </c>
      <c r="R49" s="12">
        <v>0</v>
      </c>
      <c r="S49" s="12">
        <v>12</v>
      </c>
    </row>
    <row r="50" spans="1:19" x14ac:dyDescent="0.25">
      <c r="A50" s="12" t="s">
        <v>36</v>
      </c>
      <c r="B50" s="12">
        <v>15</v>
      </c>
      <c r="C50" s="12" t="s">
        <v>21</v>
      </c>
      <c r="D50" s="12">
        <v>2025</v>
      </c>
      <c r="E50" s="12">
        <v>0</v>
      </c>
      <c r="F50" s="12">
        <v>0</v>
      </c>
      <c r="G50" s="12">
        <v>0</v>
      </c>
      <c r="H50" s="12">
        <v>0</v>
      </c>
      <c r="I50" s="12">
        <v>8</v>
      </c>
      <c r="J50" s="12">
        <v>11</v>
      </c>
      <c r="K50" s="12">
        <v>2</v>
      </c>
      <c r="L50" s="12">
        <v>3</v>
      </c>
      <c r="M50" s="12">
        <v>0</v>
      </c>
      <c r="N50" s="12">
        <v>0</v>
      </c>
      <c r="O50" s="12">
        <f t="shared" si="0"/>
        <v>8</v>
      </c>
      <c r="P50" s="12">
        <f t="shared" si="1"/>
        <v>14</v>
      </c>
      <c r="Q50" s="12">
        <f t="shared" si="2"/>
        <v>2</v>
      </c>
      <c r="R50" s="12">
        <v>1</v>
      </c>
      <c r="S50" s="12">
        <v>11</v>
      </c>
    </row>
    <row r="51" spans="1:19" x14ac:dyDescent="0.25">
      <c r="A51" s="12" t="s">
        <v>45</v>
      </c>
      <c r="B51" s="12">
        <v>16</v>
      </c>
      <c r="C51" s="12" t="s">
        <v>21</v>
      </c>
      <c r="D51" s="12">
        <v>2025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18</v>
      </c>
      <c r="N51" s="12">
        <v>6</v>
      </c>
      <c r="O51" s="12">
        <f t="shared" si="0"/>
        <v>18</v>
      </c>
      <c r="P51" s="12">
        <f t="shared" si="1"/>
        <v>6</v>
      </c>
      <c r="Q51" s="12">
        <f t="shared" si="2"/>
        <v>0</v>
      </c>
      <c r="R51" s="12">
        <v>12</v>
      </c>
      <c r="S51" s="12">
        <v>0</v>
      </c>
    </row>
    <row r="52" spans="1:19" x14ac:dyDescent="0.25">
      <c r="A52" s="12" t="s">
        <v>46</v>
      </c>
      <c r="B52" s="12">
        <v>17</v>
      </c>
      <c r="C52" s="12" t="s">
        <v>21</v>
      </c>
      <c r="D52" s="12">
        <v>2025</v>
      </c>
      <c r="E52" s="12">
        <v>6</v>
      </c>
      <c r="F52" s="12">
        <v>12</v>
      </c>
      <c r="G52" s="12">
        <v>4</v>
      </c>
      <c r="H52" s="12">
        <v>2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f t="shared" si="0"/>
        <v>6</v>
      </c>
      <c r="P52" s="12">
        <f t="shared" si="1"/>
        <v>14</v>
      </c>
      <c r="Q52" s="12">
        <f t="shared" si="2"/>
        <v>4</v>
      </c>
      <c r="R52" s="12">
        <v>0</v>
      </c>
      <c r="S52" s="12">
        <v>12</v>
      </c>
    </row>
    <row r="53" spans="1:19" x14ac:dyDescent="0.25">
      <c r="A53" s="12" t="s">
        <v>47</v>
      </c>
      <c r="B53" s="12">
        <v>18</v>
      </c>
      <c r="C53" s="12" t="s">
        <v>21</v>
      </c>
      <c r="D53" s="12">
        <v>2025</v>
      </c>
      <c r="E53" s="12">
        <v>6</v>
      </c>
      <c r="F53" s="12">
        <v>12</v>
      </c>
      <c r="G53" s="12">
        <v>4</v>
      </c>
      <c r="H53" s="12">
        <v>2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f t="shared" si="0"/>
        <v>6</v>
      </c>
      <c r="P53" s="12">
        <f t="shared" si="1"/>
        <v>14</v>
      </c>
      <c r="Q53" s="12">
        <f t="shared" si="2"/>
        <v>4</v>
      </c>
      <c r="R53" s="12">
        <v>0</v>
      </c>
      <c r="S53" s="12">
        <v>12</v>
      </c>
    </row>
    <row r="54" spans="1:19" x14ac:dyDescent="0.25">
      <c r="A54" s="12" t="s">
        <v>42</v>
      </c>
      <c r="B54" s="12">
        <v>19</v>
      </c>
      <c r="C54" s="12" t="s">
        <v>21</v>
      </c>
      <c r="D54" s="12">
        <v>2025</v>
      </c>
      <c r="E54" s="12">
        <v>6</v>
      </c>
      <c r="F54" s="12">
        <v>12</v>
      </c>
      <c r="G54" s="12">
        <v>4</v>
      </c>
      <c r="H54" s="12">
        <v>2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f t="shared" si="0"/>
        <v>6</v>
      </c>
      <c r="P54" s="12">
        <f t="shared" si="1"/>
        <v>14</v>
      </c>
      <c r="Q54" s="12">
        <f t="shared" si="2"/>
        <v>4</v>
      </c>
      <c r="R54" s="12">
        <v>0</v>
      </c>
      <c r="S54" s="12">
        <v>12</v>
      </c>
    </row>
    <row r="55" spans="1:19" x14ac:dyDescent="0.25">
      <c r="A55" s="12" t="s">
        <v>43</v>
      </c>
      <c r="B55" s="12">
        <v>20</v>
      </c>
      <c r="C55" s="12" t="s">
        <v>21</v>
      </c>
      <c r="D55" s="12">
        <v>2025</v>
      </c>
      <c r="E55" s="12">
        <v>6</v>
      </c>
      <c r="F55" s="12">
        <v>12</v>
      </c>
      <c r="G55" s="12">
        <v>4</v>
      </c>
      <c r="H55" s="12">
        <v>2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f t="shared" si="0"/>
        <v>6</v>
      </c>
      <c r="P55" s="12">
        <f t="shared" si="1"/>
        <v>14</v>
      </c>
      <c r="Q55" s="12">
        <f t="shared" si="2"/>
        <v>4</v>
      </c>
      <c r="R55" s="12">
        <v>0</v>
      </c>
      <c r="S55" s="12">
        <v>12</v>
      </c>
    </row>
    <row r="56" spans="1:19" x14ac:dyDescent="0.25">
      <c r="A56" s="12" t="s">
        <v>44</v>
      </c>
      <c r="B56" s="12">
        <v>21</v>
      </c>
      <c r="C56" s="12" t="s">
        <v>21</v>
      </c>
      <c r="D56" s="12">
        <v>2025</v>
      </c>
      <c r="E56" s="12">
        <v>6</v>
      </c>
      <c r="F56" s="12">
        <v>12</v>
      </c>
      <c r="G56" s="12">
        <v>4</v>
      </c>
      <c r="H56" s="12">
        <v>2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f t="shared" si="0"/>
        <v>6</v>
      </c>
      <c r="P56" s="12">
        <f t="shared" si="1"/>
        <v>14</v>
      </c>
      <c r="Q56" s="12">
        <f t="shared" si="2"/>
        <v>4</v>
      </c>
      <c r="R56" s="12">
        <v>0</v>
      </c>
      <c r="S56" s="12">
        <v>12</v>
      </c>
    </row>
    <row r="57" spans="1:19" x14ac:dyDescent="0.25">
      <c r="A57" s="12" t="s">
        <v>36</v>
      </c>
      <c r="B57" s="12">
        <v>22</v>
      </c>
      <c r="C57" s="12" t="s">
        <v>21</v>
      </c>
      <c r="D57" s="12">
        <v>2025</v>
      </c>
      <c r="E57" s="12">
        <v>0</v>
      </c>
      <c r="F57" s="12">
        <v>0</v>
      </c>
      <c r="G57" s="12">
        <v>0</v>
      </c>
      <c r="H57" s="12">
        <v>0</v>
      </c>
      <c r="I57" s="12">
        <v>8</v>
      </c>
      <c r="J57" s="12">
        <v>11</v>
      </c>
      <c r="K57" s="12">
        <v>2</v>
      </c>
      <c r="L57" s="12">
        <v>3</v>
      </c>
      <c r="M57" s="12">
        <v>0</v>
      </c>
      <c r="N57" s="12">
        <v>0</v>
      </c>
      <c r="O57" s="12">
        <f t="shared" si="0"/>
        <v>8</v>
      </c>
      <c r="P57" s="12">
        <f t="shared" si="1"/>
        <v>14</v>
      </c>
      <c r="Q57" s="12">
        <f t="shared" si="2"/>
        <v>2</v>
      </c>
      <c r="R57" s="12">
        <v>1</v>
      </c>
      <c r="S57" s="12">
        <v>11</v>
      </c>
    </row>
    <row r="58" spans="1:19" x14ac:dyDescent="0.25">
      <c r="A58" s="12" t="s">
        <v>45</v>
      </c>
      <c r="B58" s="12">
        <v>23</v>
      </c>
      <c r="C58" s="12" t="s">
        <v>21</v>
      </c>
      <c r="D58" s="12">
        <v>2025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18</v>
      </c>
      <c r="N58" s="12">
        <v>6</v>
      </c>
      <c r="O58" s="12">
        <f t="shared" si="0"/>
        <v>18</v>
      </c>
      <c r="P58" s="12">
        <f t="shared" si="1"/>
        <v>6</v>
      </c>
      <c r="Q58" s="12">
        <f t="shared" si="2"/>
        <v>0</v>
      </c>
      <c r="R58" s="12">
        <v>12</v>
      </c>
      <c r="S58" s="12">
        <v>0</v>
      </c>
    </row>
    <row r="59" spans="1:19" x14ac:dyDescent="0.25">
      <c r="A59" s="12" t="s">
        <v>46</v>
      </c>
      <c r="B59" s="12">
        <v>24</v>
      </c>
      <c r="C59" s="12" t="s">
        <v>21</v>
      </c>
      <c r="D59" s="12">
        <v>2025</v>
      </c>
      <c r="E59" s="12">
        <v>6</v>
      </c>
      <c r="F59" s="12">
        <v>12</v>
      </c>
      <c r="G59" s="12">
        <v>4</v>
      </c>
      <c r="H59" s="12">
        <v>2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f t="shared" si="0"/>
        <v>6</v>
      </c>
      <c r="P59" s="12">
        <f t="shared" si="1"/>
        <v>14</v>
      </c>
      <c r="Q59" s="12">
        <f t="shared" si="2"/>
        <v>4</v>
      </c>
      <c r="R59" s="12">
        <v>0</v>
      </c>
      <c r="S59" s="12">
        <v>12</v>
      </c>
    </row>
    <row r="60" spans="1:19" x14ac:dyDescent="0.25">
      <c r="A60" s="12" t="s">
        <v>47</v>
      </c>
      <c r="B60" s="12">
        <v>25</v>
      </c>
      <c r="C60" s="12" t="s">
        <v>21</v>
      </c>
      <c r="D60" s="12">
        <v>2025</v>
      </c>
      <c r="E60" s="12">
        <v>6</v>
      </c>
      <c r="F60" s="12">
        <v>12</v>
      </c>
      <c r="G60" s="12">
        <v>4</v>
      </c>
      <c r="H60" s="12">
        <v>2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f t="shared" si="0"/>
        <v>6</v>
      </c>
      <c r="P60" s="12">
        <f t="shared" si="1"/>
        <v>14</v>
      </c>
      <c r="Q60" s="12">
        <f t="shared" si="2"/>
        <v>4</v>
      </c>
      <c r="R60" s="12">
        <v>0</v>
      </c>
      <c r="S60" s="12">
        <v>12</v>
      </c>
    </row>
    <row r="61" spans="1:19" x14ac:dyDescent="0.25">
      <c r="A61" s="12" t="s">
        <v>42</v>
      </c>
      <c r="B61" s="12">
        <v>26</v>
      </c>
      <c r="C61" s="12" t="s">
        <v>21</v>
      </c>
      <c r="D61" s="12">
        <v>2025</v>
      </c>
      <c r="E61" s="12">
        <v>6</v>
      </c>
      <c r="F61" s="12">
        <v>12</v>
      </c>
      <c r="G61" s="12">
        <v>4</v>
      </c>
      <c r="H61" s="12">
        <v>2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f t="shared" si="0"/>
        <v>6</v>
      </c>
      <c r="P61" s="12">
        <f t="shared" si="1"/>
        <v>14</v>
      </c>
      <c r="Q61" s="12">
        <f t="shared" si="2"/>
        <v>4</v>
      </c>
      <c r="R61" s="12">
        <v>0</v>
      </c>
      <c r="S61" s="12">
        <v>12</v>
      </c>
    </row>
    <row r="62" spans="1:19" x14ac:dyDescent="0.25">
      <c r="A62" s="12" t="s">
        <v>43</v>
      </c>
      <c r="B62" s="12">
        <v>27</v>
      </c>
      <c r="C62" s="12" t="s">
        <v>21</v>
      </c>
      <c r="D62" s="12">
        <v>2025</v>
      </c>
      <c r="E62" s="12">
        <v>6</v>
      </c>
      <c r="F62" s="12">
        <v>12</v>
      </c>
      <c r="G62" s="12">
        <v>4</v>
      </c>
      <c r="H62" s="12">
        <v>2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f t="shared" si="0"/>
        <v>6</v>
      </c>
      <c r="P62" s="12">
        <f t="shared" si="1"/>
        <v>14</v>
      </c>
      <c r="Q62" s="12">
        <f t="shared" si="2"/>
        <v>4</v>
      </c>
      <c r="R62" s="12">
        <v>0</v>
      </c>
      <c r="S62" s="12">
        <v>12</v>
      </c>
    </row>
    <row r="63" spans="1:19" x14ac:dyDescent="0.25">
      <c r="A63" s="12" t="s">
        <v>44</v>
      </c>
      <c r="B63" s="12">
        <v>28</v>
      </c>
      <c r="C63" s="12" t="s">
        <v>21</v>
      </c>
      <c r="D63" s="12">
        <v>2025</v>
      </c>
      <c r="E63" s="12">
        <v>6</v>
      </c>
      <c r="F63" s="12">
        <v>12</v>
      </c>
      <c r="G63" s="12">
        <v>4</v>
      </c>
      <c r="H63" s="12">
        <v>2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f t="shared" si="0"/>
        <v>6</v>
      </c>
      <c r="P63" s="12">
        <f t="shared" si="1"/>
        <v>14</v>
      </c>
      <c r="Q63" s="12">
        <f t="shared" si="2"/>
        <v>4</v>
      </c>
      <c r="R63" s="12">
        <v>0</v>
      </c>
      <c r="S63" s="12">
        <v>12</v>
      </c>
    </row>
    <row r="64" spans="1:19" x14ac:dyDescent="0.25">
      <c r="A64" s="14" t="s">
        <v>36</v>
      </c>
      <c r="B64" s="14">
        <v>1</v>
      </c>
      <c r="C64" s="14" t="s">
        <v>22</v>
      </c>
      <c r="D64" s="14">
        <v>2025</v>
      </c>
      <c r="E64" s="14">
        <v>0</v>
      </c>
      <c r="F64" s="14">
        <v>0</v>
      </c>
      <c r="G64" s="14">
        <v>0</v>
      </c>
      <c r="H64" s="14">
        <v>0</v>
      </c>
      <c r="I64" s="14">
        <v>8</v>
      </c>
      <c r="J64" s="14">
        <v>11</v>
      </c>
      <c r="K64" s="14">
        <v>2</v>
      </c>
      <c r="L64" s="14">
        <v>3</v>
      </c>
      <c r="M64" s="14">
        <v>0</v>
      </c>
      <c r="N64" s="14">
        <v>0</v>
      </c>
      <c r="O64" s="14">
        <f t="shared" si="0"/>
        <v>8</v>
      </c>
      <c r="P64" s="14">
        <f t="shared" si="1"/>
        <v>14</v>
      </c>
      <c r="Q64" s="14">
        <f t="shared" si="2"/>
        <v>2</v>
      </c>
      <c r="R64" s="14">
        <v>1</v>
      </c>
      <c r="S64" s="14">
        <v>11</v>
      </c>
    </row>
    <row r="65" spans="1:19" x14ac:dyDescent="0.25">
      <c r="A65" s="14" t="s">
        <v>45</v>
      </c>
      <c r="B65" s="14">
        <v>2</v>
      </c>
      <c r="C65" s="14" t="s">
        <v>22</v>
      </c>
      <c r="D65" s="14">
        <v>2025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18</v>
      </c>
      <c r="N65" s="14">
        <v>6</v>
      </c>
      <c r="O65" s="14">
        <f t="shared" si="0"/>
        <v>18</v>
      </c>
      <c r="P65" s="14">
        <f t="shared" si="1"/>
        <v>6</v>
      </c>
      <c r="Q65" s="14">
        <f t="shared" si="2"/>
        <v>0</v>
      </c>
      <c r="R65" s="14">
        <v>12</v>
      </c>
      <c r="S65" s="14">
        <v>0</v>
      </c>
    </row>
    <row r="66" spans="1:19" x14ac:dyDescent="0.25">
      <c r="A66" s="14" t="s">
        <v>46</v>
      </c>
      <c r="B66" s="14">
        <v>3</v>
      </c>
      <c r="C66" s="14" t="s">
        <v>22</v>
      </c>
      <c r="D66" s="14">
        <v>2025</v>
      </c>
      <c r="E66" s="14">
        <v>6</v>
      </c>
      <c r="F66" s="14">
        <v>12</v>
      </c>
      <c r="G66" s="14">
        <v>4</v>
      </c>
      <c r="H66" s="14">
        <v>2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f t="shared" si="0"/>
        <v>6</v>
      </c>
      <c r="P66" s="14">
        <f t="shared" si="1"/>
        <v>14</v>
      </c>
      <c r="Q66" s="14">
        <f t="shared" si="2"/>
        <v>4</v>
      </c>
      <c r="R66" s="14">
        <v>0</v>
      </c>
      <c r="S66" s="14">
        <v>12</v>
      </c>
    </row>
    <row r="67" spans="1:19" x14ac:dyDescent="0.25">
      <c r="A67" s="14" t="s">
        <v>47</v>
      </c>
      <c r="B67" s="14">
        <v>4</v>
      </c>
      <c r="C67" s="14" t="s">
        <v>22</v>
      </c>
      <c r="D67" s="14">
        <v>2025</v>
      </c>
      <c r="E67" s="14">
        <v>6</v>
      </c>
      <c r="F67" s="14">
        <v>12</v>
      </c>
      <c r="G67" s="14">
        <v>4</v>
      </c>
      <c r="H67" s="14">
        <v>2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f t="shared" si="0"/>
        <v>6</v>
      </c>
      <c r="P67" s="14">
        <f t="shared" si="1"/>
        <v>14</v>
      </c>
      <c r="Q67" s="14">
        <f t="shared" si="2"/>
        <v>4</v>
      </c>
      <c r="R67" s="14">
        <v>0</v>
      </c>
      <c r="S67" s="14">
        <v>12</v>
      </c>
    </row>
    <row r="68" spans="1:19" x14ac:dyDescent="0.25">
      <c r="A68" s="14" t="s">
        <v>42</v>
      </c>
      <c r="B68" s="14">
        <v>5</v>
      </c>
      <c r="C68" s="14" t="s">
        <v>22</v>
      </c>
      <c r="D68" s="14">
        <v>2025</v>
      </c>
      <c r="E68" s="14">
        <v>6</v>
      </c>
      <c r="F68" s="14">
        <v>12</v>
      </c>
      <c r="G68" s="14">
        <v>4</v>
      </c>
      <c r="H68" s="14">
        <v>2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f t="shared" si="0"/>
        <v>6</v>
      </c>
      <c r="P68" s="14">
        <f t="shared" si="1"/>
        <v>14</v>
      </c>
      <c r="Q68" s="14">
        <f t="shared" si="2"/>
        <v>4</v>
      </c>
      <c r="R68" s="14">
        <v>0</v>
      </c>
      <c r="S68" s="14">
        <v>12</v>
      </c>
    </row>
    <row r="69" spans="1:19" x14ac:dyDescent="0.25">
      <c r="A69" s="14" t="s">
        <v>43</v>
      </c>
      <c r="B69" s="14">
        <v>6</v>
      </c>
      <c r="C69" s="14" t="s">
        <v>22</v>
      </c>
      <c r="D69" s="14">
        <v>2025</v>
      </c>
      <c r="E69" s="14">
        <v>6</v>
      </c>
      <c r="F69" s="14">
        <v>12</v>
      </c>
      <c r="G69" s="14">
        <v>4</v>
      </c>
      <c r="H69" s="14">
        <v>2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f t="shared" si="0"/>
        <v>6</v>
      </c>
      <c r="P69" s="14">
        <f t="shared" si="1"/>
        <v>14</v>
      </c>
      <c r="Q69" s="14">
        <f t="shared" si="2"/>
        <v>4</v>
      </c>
      <c r="R69" s="14">
        <v>0</v>
      </c>
      <c r="S69" s="14">
        <v>12</v>
      </c>
    </row>
    <row r="70" spans="1:19" x14ac:dyDescent="0.25">
      <c r="A70" s="14" t="s">
        <v>44</v>
      </c>
      <c r="B70" s="14">
        <v>7</v>
      </c>
      <c r="C70" s="14" t="s">
        <v>22</v>
      </c>
      <c r="D70" s="14">
        <v>2025</v>
      </c>
      <c r="E70" s="14">
        <v>6</v>
      </c>
      <c r="F70" s="14">
        <v>12</v>
      </c>
      <c r="G70" s="14">
        <v>4</v>
      </c>
      <c r="H70" s="14">
        <v>2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f t="shared" ref="O70:O130" si="3">SUM(E70,I70,M70)</f>
        <v>6</v>
      </c>
      <c r="P70" s="14">
        <f t="shared" ref="P70:P130" si="4">SUM(F70,H70,J70,L70,N70)</f>
        <v>14</v>
      </c>
      <c r="Q70" s="14">
        <f t="shared" ref="Q70:Q130" si="5">SUM(G70,K70)</f>
        <v>4</v>
      </c>
      <c r="R70" s="14">
        <v>0</v>
      </c>
      <c r="S70" s="14">
        <v>12</v>
      </c>
    </row>
    <row r="71" spans="1:19" x14ac:dyDescent="0.25">
      <c r="A71" s="14" t="s">
        <v>36</v>
      </c>
      <c r="B71" s="14">
        <v>8</v>
      </c>
      <c r="C71" s="14" t="s">
        <v>22</v>
      </c>
      <c r="D71" s="14">
        <v>2025</v>
      </c>
      <c r="E71" s="14">
        <v>0</v>
      </c>
      <c r="F71" s="14">
        <v>0</v>
      </c>
      <c r="G71" s="14">
        <v>0</v>
      </c>
      <c r="H71" s="14">
        <v>0</v>
      </c>
      <c r="I71" s="14">
        <v>8</v>
      </c>
      <c r="J71" s="14">
        <v>11</v>
      </c>
      <c r="K71" s="14">
        <v>2</v>
      </c>
      <c r="L71" s="14">
        <v>3</v>
      </c>
      <c r="M71" s="14">
        <v>0</v>
      </c>
      <c r="N71" s="14">
        <v>0</v>
      </c>
      <c r="O71" s="14">
        <f t="shared" si="3"/>
        <v>8</v>
      </c>
      <c r="P71" s="14">
        <f t="shared" si="4"/>
        <v>14</v>
      </c>
      <c r="Q71" s="14">
        <f t="shared" si="5"/>
        <v>2</v>
      </c>
      <c r="R71" s="14">
        <v>1</v>
      </c>
      <c r="S71" s="14">
        <v>11</v>
      </c>
    </row>
    <row r="72" spans="1:19" x14ac:dyDescent="0.25">
      <c r="A72" s="14" t="s">
        <v>45</v>
      </c>
      <c r="B72" s="14">
        <v>9</v>
      </c>
      <c r="C72" s="14" t="s">
        <v>22</v>
      </c>
      <c r="D72" s="14">
        <v>2025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18</v>
      </c>
      <c r="N72" s="14">
        <v>6</v>
      </c>
      <c r="O72" s="14">
        <f t="shared" si="3"/>
        <v>18</v>
      </c>
      <c r="P72" s="14">
        <f t="shared" si="4"/>
        <v>6</v>
      </c>
      <c r="Q72" s="14">
        <f t="shared" si="5"/>
        <v>0</v>
      </c>
      <c r="R72" s="14">
        <v>12</v>
      </c>
      <c r="S72" s="14">
        <v>0</v>
      </c>
    </row>
    <row r="73" spans="1:19" x14ac:dyDescent="0.25">
      <c r="A73" s="14" t="s">
        <v>46</v>
      </c>
      <c r="B73" s="14">
        <v>10</v>
      </c>
      <c r="C73" s="14" t="s">
        <v>22</v>
      </c>
      <c r="D73" s="14">
        <v>2025</v>
      </c>
      <c r="E73" s="14">
        <v>6</v>
      </c>
      <c r="F73" s="14">
        <v>12</v>
      </c>
      <c r="G73" s="14">
        <v>4</v>
      </c>
      <c r="H73" s="14">
        <v>2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f t="shared" si="3"/>
        <v>6</v>
      </c>
      <c r="P73" s="14">
        <f t="shared" si="4"/>
        <v>14</v>
      </c>
      <c r="Q73" s="14">
        <f t="shared" si="5"/>
        <v>4</v>
      </c>
      <c r="R73" s="14">
        <v>0</v>
      </c>
      <c r="S73" s="14">
        <v>12</v>
      </c>
    </row>
    <row r="74" spans="1:19" x14ac:dyDescent="0.25">
      <c r="A74" s="14" t="s">
        <v>47</v>
      </c>
      <c r="B74" s="14">
        <v>11</v>
      </c>
      <c r="C74" s="14" t="s">
        <v>22</v>
      </c>
      <c r="D74" s="14">
        <v>2025</v>
      </c>
      <c r="E74" s="14">
        <v>6</v>
      </c>
      <c r="F74" s="14">
        <v>12</v>
      </c>
      <c r="G74" s="14">
        <v>4</v>
      </c>
      <c r="H74" s="14">
        <v>2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f t="shared" si="3"/>
        <v>6</v>
      </c>
      <c r="P74" s="14">
        <f t="shared" si="4"/>
        <v>14</v>
      </c>
      <c r="Q74" s="14">
        <f t="shared" si="5"/>
        <v>4</v>
      </c>
      <c r="R74" s="14">
        <v>0</v>
      </c>
      <c r="S74" s="14">
        <v>12</v>
      </c>
    </row>
    <row r="75" spans="1:19" x14ac:dyDescent="0.25">
      <c r="A75" s="14" t="s">
        <v>42</v>
      </c>
      <c r="B75" s="14">
        <v>12</v>
      </c>
      <c r="C75" s="14" t="s">
        <v>22</v>
      </c>
      <c r="D75" s="14">
        <v>2025</v>
      </c>
      <c r="E75" s="14">
        <v>6</v>
      </c>
      <c r="F75" s="14">
        <v>12</v>
      </c>
      <c r="G75" s="14">
        <v>4</v>
      </c>
      <c r="H75" s="14">
        <v>2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f t="shared" si="3"/>
        <v>6</v>
      </c>
      <c r="P75" s="14">
        <f t="shared" si="4"/>
        <v>14</v>
      </c>
      <c r="Q75" s="14">
        <f t="shared" si="5"/>
        <v>4</v>
      </c>
      <c r="R75" s="14">
        <v>0</v>
      </c>
      <c r="S75" s="14">
        <v>12</v>
      </c>
    </row>
    <row r="76" spans="1:19" x14ac:dyDescent="0.25">
      <c r="A76" s="14" t="s">
        <v>43</v>
      </c>
      <c r="B76" s="14">
        <v>13</v>
      </c>
      <c r="C76" s="14" t="s">
        <v>22</v>
      </c>
      <c r="D76" s="14">
        <v>2025</v>
      </c>
      <c r="E76" s="14">
        <v>6</v>
      </c>
      <c r="F76" s="14">
        <v>12</v>
      </c>
      <c r="G76" s="14">
        <v>4</v>
      </c>
      <c r="H76" s="14">
        <v>2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f t="shared" si="3"/>
        <v>6</v>
      </c>
      <c r="P76" s="14">
        <f t="shared" si="4"/>
        <v>14</v>
      </c>
      <c r="Q76" s="14">
        <f t="shared" si="5"/>
        <v>4</v>
      </c>
      <c r="R76" s="14">
        <v>0</v>
      </c>
      <c r="S76" s="14">
        <v>12</v>
      </c>
    </row>
    <row r="77" spans="1:19" x14ac:dyDescent="0.25">
      <c r="A77" s="14" t="s">
        <v>44</v>
      </c>
      <c r="B77" s="14">
        <v>14</v>
      </c>
      <c r="C77" s="14" t="s">
        <v>22</v>
      </c>
      <c r="D77" s="14">
        <v>2025</v>
      </c>
      <c r="E77" s="14">
        <v>6</v>
      </c>
      <c r="F77" s="14">
        <v>12</v>
      </c>
      <c r="G77" s="14">
        <v>4</v>
      </c>
      <c r="H77" s="14">
        <v>2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f t="shared" si="3"/>
        <v>6</v>
      </c>
      <c r="P77" s="14">
        <f t="shared" si="4"/>
        <v>14</v>
      </c>
      <c r="Q77" s="14">
        <f t="shared" si="5"/>
        <v>4</v>
      </c>
      <c r="R77" s="14">
        <v>0</v>
      </c>
      <c r="S77" s="14">
        <v>12</v>
      </c>
    </row>
    <row r="78" spans="1:19" x14ac:dyDescent="0.25">
      <c r="A78" s="14" t="s">
        <v>36</v>
      </c>
      <c r="B78" s="14">
        <v>15</v>
      </c>
      <c r="C78" s="14" t="s">
        <v>22</v>
      </c>
      <c r="D78" s="14">
        <v>2025</v>
      </c>
      <c r="E78" s="14">
        <v>0</v>
      </c>
      <c r="F78" s="14">
        <v>0</v>
      </c>
      <c r="G78" s="14">
        <v>0</v>
      </c>
      <c r="H78" s="14">
        <v>0</v>
      </c>
      <c r="I78" s="14">
        <v>8</v>
      </c>
      <c r="J78" s="14">
        <v>11</v>
      </c>
      <c r="K78" s="14">
        <v>2</v>
      </c>
      <c r="L78" s="14">
        <v>3</v>
      </c>
      <c r="M78" s="14">
        <v>0</v>
      </c>
      <c r="N78" s="14">
        <v>0</v>
      </c>
      <c r="O78" s="14">
        <f t="shared" si="3"/>
        <v>8</v>
      </c>
      <c r="P78" s="14">
        <f t="shared" si="4"/>
        <v>14</v>
      </c>
      <c r="Q78" s="14">
        <f t="shared" si="5"/>
        <v>2</v>
      </c>
      <c r="R78" s="14">
        <v>1</v>
      </c>
      <c r="S78" s="14">
        <v>11</v>
      </c>
    </row>
    <row r="79" spans="1:19" x14ac:dyDescent="0.25">
      <c r="A79" s="14" t="s">
        <v>45</v>
      </c>
      <c r="B79" s="14">
        <v>16</v>
      </c>
      <c r="C79" s="14" t="s">
        <v>22</v>
      </c>
      <c r="D79" s="14">
        <v>2025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18</v>
      </c>
      <c r="N79" s="14">
        <v>6</v>
      </c>
      <c r="O79" s="14">
        <f t="shared" si="3"/>
        <v>18</v>
      </c>
      <c r="P79" s="14">
        <f t="shared" si="4"/>
        <v>6</v>
      </c>
      <c r="Q79" s="14">
        <f t="shared" si="5"/>
        <v>0</v>
      </c>
      <c r="R79" s="14">
        <v>12</v>
      </c>
      <c r="S79" s="14">
        <v>0</v>
      </c>
    </row>
    <row r="80" spans="1:19" x14ac:dyDescent="0.25">
      <c r="A80" s="14" t="s">
        <v>46</v>
      </c>
      <c r="B80" s="14">
        <v>17</v>
      </c>
      <c r="C80" s="14" t="s">
        <v>22</v>
      </c>
      <c r="D80" s="14">
        <v>2025</v>
      </c>
      <c r="E80" s="14">
        <v>6</v>
      </c>
      <c r="F80" s="14">
        <v>12</v>
      </c>
      <c r="G80" s="14">
        <v>4</v>
      </c>
      <c r="H80" s="14">
        <v>2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f t="shared" si="3"/>
        <v>6</v>
      </c>
      <c r="P80" s="14">
        <f t="shared" si="4"/>
        <v>14</v>
      </c>
      <c r="Q80" s="14">
        <f t="shared" si="5"/>
        <v>4</v>
      </c>
      <c r="R80" s="14">
        <v>0</v>
      </c>
      <c r="S80" s="14">
        <v>12</v>
      </c>
    </row>
    <row r="81" spans="1:19" x14ac:dyDescent="0.25">
      <c r="A81" s="14" t="s">
        <v>47</v>
      </c>
      <c r="B81" s="14">
        <v>18</v>
      </c>
      <c r="C81" s="14" t="s">
        <v>22</v>
      </c>
      <c r="D81" s="14">
        <v>2025</v>
      </c>
      <c r="E81" s="14">
        <v>6</v>
      </c>
      <c r="F81" s="14">
        <v>12</v>
      </c>
      <c r="G81" s="14">
        <v>4</v>
      </c>
      <c r="H81" s="14">
        <v>2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f t="shared" si="3"/>
        <v>6</v>
      </c>
      <c r="P81" s="14">
        <f t="shared" si="4"/>
        <v>14</v>
      </c>
      <c r="Q81" s="14">
        <f t="shared" si="5"/>
        <v>4</v>
      </c>
      <c r="R81" s="14">
        <v>0</v>
      </c>
      <c r="S81" s="14">
        <v>12</v>
      </c>
    </row>
    <row r="82" spans="1:19" x14ac:dyDescent="0.25">
      <c r="A82" s="14" t="s">
        <v>42</v>
      </c>
      <c r="B82" s="14">
        <v>19</v>
      </c>
      <c r="C82" s="14" t="s">
        <v>22</v>
      </c>
      <c r="D82" s="14">
        <v>2025</v>
      </c>
      <c r="E82" s="14">
        <v>6</v>
      </c>
      <c r="F82" s="14">
        <v>12</v>
      </c>
      <c r="G82" s="14">
        <v>4</v>
      </c>
      <c r="H82" s="14">
        <v>2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f t="shared" si="3"/>
        <v>6</v>
      </c>
      <c r="P82" s="14">
        <f t="shared" si="4"/>
        <v>14</v>
      </c>
      <c r="Q82" s="14">
        <f t="shared" si="5"/>
        <v>4</v>
      </c>
      <c r="R82" s="14">
        <v>0</v>
      </c>
      <c r="S82" s="14">
        <v>12</v>
      </c>
    </row>
    <row r="83" spans="1:19" x14ac:dyDescent="0.25">
      <c r="A83" s="14" t="s">
        <v>43</v>
      </c>
      <c r="B83" s="14">
        <v>20</v>
      </c>
      <c r="C83" s="14" t="s">
        <v>22</v>
      </c>
      <c r="D83" s="14">
        <v>2025</v>
      </c>
      <c r="E83" s="14">
        <v>6</v>
      </c>
      <c r="F83" s="14">
        <v>12</v>
      </c>
      <c r="G83" s="14">
        <v>4</v>
      </c>
      <c r="H83" s="14">
        <v>2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f t="shared" si="3"/>
        <v>6</v>
      </c>
      <c r="P83" s="14">
        <f t="shared" si="4"/>
        <v>14</v>
      </c>
      <c r="Q83" s="14">
        <f t="shared" si="5"/>
        <v>4</v>
      </c>
      <c r="R83" s="14">
        <v>0</v>
      </c>
      <c r="S83" s="14">
        <v>12</v>
      </c>
    </row>
    <row r="84" spans="1:19" x14ac:dyDescent="0.25">
      <c r="A84" s="14" t="s">
        <v>44</v>
      </c>
      <c r="B84" s="14">
        <v>21</v>
      </c>
      <c r="C84" s="14" t="s">
        <v>22</v>
      </c>
      <c r="D84" s="14">
        <v>2025</v>
      </c>
      <c r="E84" s="14">
        <v>6</v>
      </c>
      <c r="F84" s="14">
        <v>12</v>
      </c>
      <c r="G84" s="14">
        <v>4</v>
      </c>
      <c r="H84" s="14">
        <v>2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f t="shared" si="3"/>
        <v>6</v>
      </c>
      <c r="P84" s="14">
        <f t="shared" si="4"/>
        <v>14</v>
      </c>
      <c r="Q84" s="14">
        <f t="shared" si="5"/>
        <v>4</v>
      </c>
      <c r="R84" s="14">
        <v>0</v>
      </c>
      <c r="S84" s="14">
        <v>12</v>
      </c>
    </row>
    <row r="85" spans="1:19" x14ac:dyDescent="0.25">
      <c r="A85" s="14" t="s">
        <v>36</v>
      </c>
      <c r="B85" s="14">
        <v>22</v>
      </c>
      <c r="C85" s="14" t="s">
        <v>22</v>
      </c>
      <c r="D85" s="14">
        <v>2025</v>
      </c>
      <c r="E85" s="14">
        <v>0</v>
      </c>
      <c r="F85" s="14">
        <v>0</v>
      </c>
      <c r="G85" s="14">
        <v>0</v>
      </c>
      <c r="H85" s="14">
        <v>0</v>
      </c>
      <c r="I85" s="14">
        <v>8</v>
      </c>
      <c r="J85" s="14">
        <v>11</v>
      </c>
      <c r="K85" s="14">
        <v>2</v>
      </c>
      <c r="L85" s="14">
        <v>3</v>
      </c>
      <c r="M85" s="14">
        <v>0</v>
      </c>
      <c r="N85" s="14">
        <v>0</v>
      </c>
      <c r="O85" s="14">
        <f t="shared" si="3"/>
        <v>8</v>
      </c>
      <c r="P85" s="14">
        <f t="shared" si="4"/>
        <v>14</v>
      </c>
      <c r="Q85" s="14">
        <f t="shared" si="5"/>
        <v>2</v>
      </c>
      <c r="R85" s="14">
        <v>1</v>
      </c>
      <c r="S85" s="14">
        <v>11</v>
      </c>
    </row>
    <row r="86" spans="1:19" x14ac:dyDescent="0.25">
      <c r="A86" s="14" t="s">
        <v>45</v>
      </c>
      <c r="B86" s="14">
        <v>23</v>
      </c>
      <c r="C86" s="14" t="s">
        <v>22</v>
      </c>
      <c r="D86" s="14">
        <v>2025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18</v>
      </c>
      <c r="N86" s="14">
        <v>6</v>
      </c>
      <c r="O86" s="14">
        <f t="shared" si="3"/>
        <v>18</v>
      </c>
      <c r="P86" s="14">
        <f t="shared" si="4"/>
        <v>6</v>
      </c>
      <c r="Q86" s="14">
        <f t="shared" si="5"/>
        <v>0</v>
      </c>
      <c r="R86" s="14">
        <v>12</v>
      </c>
      <c r="S86" s="14">
        <v>0</v>
      </c>
    </row>
    <row r="87" spans="1:19" x14ac:dyDescent="0.25">
      <c r="A87" s="14" t="s">
        <v>46</v>
      </c>
      <c r="B87" s="14">
        <v>24</v>
      </c>
      <c r="C87" s="14" t="s">
        <v>22</v>
      </c>
      <c r="D87" s="14">
        <v>2025</v>
      </c>
      <c r="E87" s="14">
        <v>6</v>
      </c>
      <c r="F87" s="14">
        <v>12</v>
      </c>
      <c r="G87" s="14">
        <v>4</v>
      </c>
      <c r="H87" s="14">
        <v>2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f t="shared" si="3"/>
        <v>6</v>
      </c>
      <c r="P87" s="14">
        <f t="shared" si="4"/>
        <v>14</v>
      </c>
      <c r="Q87" s="14">
        <f t="shared" si="5"/>
        <v>4</v>
      </c>
      <c r="R87" s="14">
        <v>0</v>
      </c>
      <c r="S87" s="14">
        <v>12</v>
      </c>
    </row>
    <row r="88" spans="1:19" x14ac:dyDescent="0.25">
      <c r="A88" s="14" t="s">
        <v>47</v>
      </c>
      <c r="B88" s="14">
        <v>25</v>
      </c>
      <c r="C88" s="14" t="s">
        <v>22</v>
      </c>
      <c r="D88" s="14">
        <v>2025</v>
      </c>
      <c r="E88" s="14">
        <v>6</v>
      </c>
      <c r="F88" s="14">
        <v>12</v>
      </c>
      <c r="G88" s="14">
        <v>4</v>
      </c>
      <c r="H88" s="14">
        <v>2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f t="shared" si="3"/>
        <v>6</v>
      </c>
      <c r="P88" s="14">
        <f t="shared" si="4"/>
        <v>14</v>
      </c>
      <c r="Q88" s="14">
        <f t="shared" si="5"/>
        <v>4</v>
      </c>
      <c r="R88" s="14">
        <v>0</v>
      </c>
      <c r="S88" s="14">
        <v>12</v>
      </c>
    </row>
    <row r="89" spans="1:19" x14ac:dyDescent="0.25">
      <c r="A89" s="14" t="s">
        <v>42</v>
      </c>
      <c r="B89" s="14">
        <v>26</v>
      </c>
      <c r="C89" s="14" t="s">
        <v>22</v>
      </c>
      <c r="D89" s="14">
        <v>2025</v>
      </c>
      <c r="E89" s="14">
        <v>6</v>
      </c>
      <c r="F89" s="14">
        <v>12</v>
      </c>
      <c r="G89" s="14">
        <v>4</v>
      </c>
      <c r="H89" s="14">
        <v>2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f t="shared" si="3"/>
        <v>6</v>
      </c>
      <c r="P89" s="14">
        <f t="shared" si="4"/>
        <v>14</v>
      </c>
      <c r="Q89" s="14">
        <f t="shared" si="5"/>
        <v>4</v>
      </c>
      <c r="R89" s="14">
        <v>0</v>
      </c>
      <c r="S89" s="14">
        <v>12</v>
      </c>
    </row>
    <row r="90" spans="1:19" x14ac:dyDescent="0.25">
      <c r="A90" s="14" t="s">
        <v>43</v>
      </c>
      <c r="B90" s="14">
        <v>27</v>
      </c>
      <c r="C90" s="14" t="s">
        <v>22</v>
      </c>
      <c r="D90" s="14">
        <v>2025</v>
      </c>
      <c r="E90" s="14">
        <v>6</v>
      </c>
      <c r="F90" s="14">
        <v>12</v>
      </c>
      <c r="G90" s="14">
        <v>4</v>
      </c>
      <c r="H90" s="14">
        <v>2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f t="shared" si="3"/>
        <v>6</v>
      </c>
      <c r="P90" s="14">
        <f t="shared" si="4"/>
        <v>14</v>
      </c>
      <c r="Q90" s="14">
        <f t="shared" si="5"/>
        <v>4</v>
      </c>
      <c r="R90" s="14">
        <v>0</v>
      </c>
      <c r="S90" s="14">
        <v>12</v>
      </c>
    </row>
    <row r="91" spans="1:19" x14ac:dyDescent="0.25">
      <c r="A91" s="14" t="s">
        <v>44</v>
      </c>
      <c r="B91" s="14">
        <v>28</v>
      </c>
      <c r="C91" s="14" t="s">
        <v>22</v>
      </c>
      <c r="D91" s="14">
        <v>2025</v>
      </c>
      <c r="E91" s="14">
        <v>6</v>
      </c>
      <c r="F91" s="14">
        <v>12</v>
      </c>
      <c r="G91" s="14">
        <v>4</v>
      </c>
      <c r="H91" s="14">
        <v>2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f t="shared" si="3"/>
        <v>6</v>
      </c>
      <c r="P91" s="14">
        <f t="shared" si="4"/>
        <v>14</v>
      </c>
      <c r="Q91" s="14">
        <f t="shared" si="5"/>
        <v>4</v>
      </c>
      <c r="R91" s="14">
        <v>0</v>
      </c>
      <c r="S91" s="14">
        <v>12</v>
      </c>
    </row>
    <row r="92" spans="1:19" x14ac:dyDescent="0.25">
      <c r="A92" s="14" t="s">
        <v>36</v>
      </c>
      <c r="B92" s="14">
        <v>29</v>
      </c>
      <c r="C92" s="14" t="s">
        <v>22</v>
      </c>
      <c r="D92" s="14">
        <v>2025</v>
      </c>
      <c r="E92" s="14">
        <v>0</v>
      </c>
      <c r="F92" s="14">
        <v>0</v>
      </c>
      <c r="G92" s="14">
        <v>0</v>
      </c>
      <c r="H92" s="14">
        <v>0</v>
      </c>
      <c r="I92" s="14">
        <v>8</v>
      </c>
      <c r="J92" s="14">
        <v>11</v>
      </c>
      <c r="K92" s="14">
        <v>2</v>
      </c>
      <c r="L92" s="14">
        <v>3</v>
      </c>
      <c r="M92" s="14">
        <v>0</v>
      </c>
      <c r="N92" s="14">
        <v>0</v>
      </c>
      <c r="O92" s="14">
        <f t="shared" si="3"/>
        <v>8</v>
      </c>
      <c r="P92" s="14">
        <f t="shared" si="4"/>
        <v>14</v>
      </c>
      <c r="Q92" s="14">
        <f t="shared" si="5"/>
        <v>2</v>
      </c>
      <c r="R92" s="14">
        <v>1</v>
      </c>
      <c r="S92" s="14">
        <v>11</v>
      </c>
    </row>
    <row r="93" spans="1:19" x14ac:dyDescent="0.25">
      <c r="A93" s="14" t="s">
        <v>45</v>
      </c>
      <c r="B93" s="14">
        <v>30</v>
      </c>
      <c r="C93" s="14" t="s">
        <v>22</v>
      </c>
      <c r="D93" s="14">
        <v>2025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18</v>
      </c>
      <c r="N93" s="14">
        <v>6</v>
      </c>
      <c r="O93" s="14">
        <f t="shared" si="3"/>
        <v>18</v>
      </c>
      <c r="P93" s="14">
        <f t="shared" si="4"/>
        <v>6</v>
      </c>
      <c r="Q93" s="14">
        <f t="shared" si="5"/>
        <v>0</v>
      </c>
      <c r="R93" s="14">
        <v>12</v>
      </c>
      <c r="S93" s="14">
        <v>0</v>
      </c>
    </row>
    <row r="94" spans="1:19" x14ac:dyDescent="0.25">
      <c r="A94" s="14" t="s">
        <v>46</v>
      </c>
      <c r="B94" s="14">
        <v>31</v>
      </c>
      <c r="C94" s="14" t="s">
        <v>22</v>
      </c>
      <c r="D94" s="14">
        <v>2025</v>
      </c>
      <c r="E94" s="14">
        <v>6</v>
      </c>
      <c r="F94" s="14">
        <v>12</v>
      </c>
      <c r="G94" s="14">
        <v>4</v>
      </c>
      <c r="H94" s="14">
        <v>2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f t="shared" si="3"/>
        <v>6</v>
      </c>
      <c r="P94" s="14">
        <f t="shared" si="4"/>
        <v>14</v>
      </c>
      <c r="Q94" s="14">
        <f t="shared" si="5"/>
        <v>4</v>
      </c>
      <c r="R94" s="14">
        <v>0</v>
      </c>
      <c r="S94" s="14">
        <v>12</v>
      </c>
    </row>
    <row r="95" spans="1:19" x14ac:dyDescent="0.25">
      <c r="A95" s="15" t="s">
        <v>47</v>
      </c>
      <c r="B95" s="15">
        <v>1</v>
      </c>
      <c r="C95" s="15" t="s">
        <v>23</v>
      </c>
      <c r="D95" s="15">
        <v>2025</v>
      </c>
      <c r="E95" s="15">
        <v>6</v>
      </c>
      <c r="F95" s="15">
        <v>12</v>
      </c>
      <c r="G95" s="15">
        <v>4</v>
      </c>
      <c r="H95" s="15">
        <v>2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f t="shared" si="3"/>
        <v>6</v>
      </c>
      <c r="P95" s="15">
        <f t="shared" si="4"/>
        <v>14</v>
      </c>
      <c r="Q95" s="15">
        <f t="shared" si="5"/>
        <v>4</v>
      </c>
      <c r="R95" s="15">
        <v>0</v>
      </c>
      <c r="S95" s="15">
        <v>12</v>
      </c>
    </row>
    <row r="96" spans="1:19" x14ac:dyDescent="0.25">
      <c r="A96" s="15" t="s">
        <v>42</v>
      </c>
      <c r="B96" s="15">
        <v>2</v>
      </c>
      <c r="C96" s="15" t="s">
        <v>23</v>
      </c>
      <c r="D96" s="15">
        <v>2025</v>
      </c>
      <c r="E96" s="15">
        <v>6</v>
      </c>
      <c r="F96" s="15">
        <v>12</v>
      </c>
      <c r="G96" s="15">
        <v>4</v>
      </c>
      <c r="H96" s="15">
        <v>2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f t="shared" si="3"/>
        <v>6</v>
      </c>
      <c r="P96" s="15">
        <f t="shared" si="4"/>
        <v>14</v>
      </c>
      <c r="Q96" s="15">
        <f t="shared" si="5"/>
        <v>4</v>
      </c>
      <c r="R96" s="15">
        <v>0</v>
      </c>
      <c r="S96" s="15">
        <v>12</v>
      </c>
    </row>
    <row r="97" spans="1:19" x14ac:dyDescent="0.25">
      <c r="A97" s="15" t="s">
        <v>43</v>
      </c>
      <c r="B97" s="15">
        <v>3</v>
      </c>
      <c r="C97" s="15" t="s">
        <v>23</v>
      </c>
      <c r="D97" s="15">
        <v>2025</v>
      </c>
      <c r="E97" s="15">
        <v>6</v>
      </c>
      <c r="F97" s="15">
        <v>12</v>
      </c>
      <c r="G97" s="15">
        <v>4</v>
      </c>
      <c r="H97" s="15">
        <v>2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f t="shared" si="3"/>
        <v>6</v>
      </c>
      <c r="P97" s="15">
        <f t="shared" si="4"/>
        <v>14</v>
      </c>
      <c r="Q97" s="15">
        <f t="shared" si="5"/>
        <v>4</v>
      </c>
      <c r="R97" s="15">
        <v>0</v>
      </c>
      <c r="S97" s="15">
        <v>12</v>
      </c>
    </row>
    <row r="98" spans="1:19" x14ac:dyDescent="0.25">
      <c r="A98" s="15" t="s">
        <v>44</v>
      </c>
      <c r="B98" s="15">
        <v>4</v>
      </c>
      <c r="C98" s="15" t="s">
        <v>23</v>
      </c>
      <c r="D98" s="15">
        <v>2025</v>
      </c>
      <c r="E98" s="15">
        <v>6</v>
      </c>
      <c r="F98" s="15">
        <v>12</v>
      </c>
      <c r="G98" s="15">
        <v>4</v>
      </c>
      <c r="H98" s="15">
        <v>2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f t="shared" si="3"/>
        <v>6</v>
      </c>
      <c r="P98" s="15">
        <f t="shared" si="4"/>
        <v>14</v>
      </c>
      <c r="Q98" s="15">
        <f t="shared" si="5"/>
        <v>4</v>
      </c>
      <c r="R98" s="15">
        <v>0</v>
      </c>
      <c r="S98" s="15">
        <v>12</v>
      </c>
    </row>
    <row r="99" spans="1:19" x14ac:dyDescent="0.25">
      <c r="A99" s="15" t="s">
        <v>36</v>
      </c>
      <c r="B99" s="15">
        <v>5</v>
      </c>
      <c r="C99" s="15" t="s">
        <v>23</v>
      </c>
      <c r="D99" s="15">
        <v>2025</v>
      </c>
      <c r="E99" s="15">
        <v>0</v>
      </c>
      <c r="F99" s="15">
        <v>0</v>
      </c>
      <c r="G99" s="15">
        <v>0</v>
      </c>
      <c r="H99" s="15">
        <v>0</v>
      </c>
      <c r="I99" s="15">
        <v>8</v>
      </c>
      <c r="J99" s="15">
        <v>11</v>
      </c>
      <c r="K99" s="15">
        <v>2</v>
      </c>
      <c r="L99" s="15">
        <v>3</v>
      </c>
      <c r="M99" s="15">
        <v>0</v>
      </c>
      <c r="N99" s="15">
        <v>0</v>
      </c>
      <c r="O99" s="15">
        <f t="shared" si="3"/>
        <v>8</v>
      </c>
      <c r="P99" s="15">
        <f t="shared" si="4"/>
        <v>14</v>
      </c>
      <c r="Q99" s="15">
        <f t="shared" si="5"/>
        <v>2</v>
      </c>
      <c r="R99" s="15">
        <v>1</v>
      </c>
      <c r="S99" s="15">
        <v>11</v>
      </c>
    </row>
    <row r="100" spans="1:19" x14ac:dyDescent="0.25">
      <c r="A100" s="15" t="s">
        <v>45</v>
      </c>
      <c r="B100" s="15">
        <v>6</v>
      </c>
      <c r="C100" s="15" t="s">
        <v>23</v>
      </c>
      <c r="D100" s="15">
        <v>2025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19</v>
      </c>
      <c r="N100" s="15">
        <v>5</v>
      </c>
      <c r="O100" s="15">
        <f>SUM(E100,I100,M100)</f>
        <v>19</v>
      </c>
      <c r="P100" s="15">
        <f t="shared" si="4"/>
        <v>5</v>
      </c>
      <c r="Q100" s="15">
        <f t="shared" si="5"/>
        <v>0</v>
      </c>
      <c r="R100" s="15">
        <v>12</v>
      </c>
      <c r="S100" s="15">
        <v>0</v>
      </c>
    </row>
    <row r="101" spans="1:19" x14ac:dyDescent="0.25">
      <c r="A101" s="15" t="s">
        <v>46</v>
      </c>
      <c r="B101" s="15">
        <v>7</v>
      </c>
      <c r="C101" s="15" t="s">
        <v>23</v>
      </c>
      <c r="D101" s="15">
        <v>2025</v>
      </c>
      <c r="E101" s="15">
        <v>6</v>
      </c>
      <c r="F101" s="15">
        <v>14</v>
      </c>
      <c r="G101" s="15">
        <v>2</v>
      </c>
      <c r="H101" s="15">
        <v>2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f>SUM(E101,I101,M101)</f>
        <v>6</v>
      </c>
      <c r="P101" s="15">
        <f t="shared" si="4"/>
        <v>16</v>
      </c>
      <c r="Q101" s="15">
        <f t="shared" si="5"/>
        <v>2</v>
      </c>
      <c r="R101" s="15">
        <v>0</v>
      </c>
      <c r="S101" s="15">
        <v>12</v>
      </c>
    </row>
    <row r="102" spans="1:19" x14ac:dyDescent="0.25">
      <c r="A102" s="15" t="s">
        <v>47</v>
      </c>
      <c r="B102" s="15">
        <v>8</v>
      </c>
      <c r="C102" s="15" t="s">
        <v>23</v>
      </c>
      <c r="D102" s="15">
        <v>2025</v>
      </c>
      <c r="E102" s="15">
        <v>6</v>
      </c>
      <c r="F102" s="15">
        <v>14</v>
      </c>
      <c r="G102" s="15">
        <v>2</v>
      </c>
      <c r="H102" s="15">
        <v>2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f t="shared" si="3"/>
        <v>6</v>
      </c>
      <c r="P102" s="15">
        <f t="shared" si="4"/>
        <v>16</v>
      </c>
      <c r="Q102" s="15">
        <f t="shared" si="5"/>
        <v>2</v>
      </c>
      <c r="R102" s="15">
        <v>0</v>
      </c>
      <c r="S102" s="15">
        <v>12</v>
      </c>
    </row>
    <row r="103" spans="1:19" x14ac:dyDescent="0.25">
      <c r="A103" s="15" t="s">
        <v>42</v>
      </c>
      <c r="B103" s="15">
        <v>9</v>
      </c>
      <c r="C103" s="15" t="s">
        <v>23</v>
      </c>
      <c r="D103" s="15">
        <v>2025</v>
      </c>
      <c r="E103" s="15">
        <v>6</v>
      </c>
      <c r="F103" s="15">
        <v>14</v>
      </c>
      <c r="G103" s="15">
        <v>2</v>
      </c>
      <c r="H103" s="15">
        <v>2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f t="shared" si="3"/>
        <v>6</v>
      </c>
      <c r="P103" s="15">
        <f t="shared" si="4"/>
        <v>16</v>
      </c>
      <c r="Q103" s="15">
        <f t="shared" si="5"/>
        <v>2</v>
      </c>
      <c r="R103" s="15">
        <v>0</v>
      </c>
      <c r="S103" s="15">
        <v>12</v>
      </c>
    </row>
    <row r="104" spans="1:19" x14ac:dyDescent="0.25">
      <c r="A104" s="15" t="s">
        <v>43</v>
      </c>
      <c r="B104" s="15">
        <v>10</v>
      </c>
      <c r="C104" s="15" t="s">
        <v>23</v>
      </c>
      <c r="D104" s="15">
        <v>2025</v>
      </c>
      <c r="E104" s="15">
        <v>6</v>
      </c>
      <c r="F104" s="15">
        <v>14</v>
      </c>
      <c r="G104" s="15">
        <v>2</v>
      </c>
      <c r="H104" s="15">
        <v>2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f t="shared" si="3"/>
        <v>6</v>
      </c>
      <c r="P104" s="15">
        <f t="shared" si="4"/>
        <v>16</v>
      </c>
      <c r="Q104" s="15">
        <f t="shared" si="5"/>
        <v>2</v>
      </c>
      <c r="R104" s="15">
        <v>0</v>
      </c>
      <c r="S104" s="15">
        <v>12</v>
      </c>
    </row>
    <row r="105" spans="1:19" x14ac:dyDescent="0.25">
      <c r="A105" s="15" t="s">
        <v>44</v>
      </c>
      <c r="B105" s="15">
        <v>11</v>
      </c>
      <c r="C105" s="15" t="s">
        <v>23</v>
      </c>
      <c r="D105" s="15">
        <v>2025</v>
      </c>
      <c r="E105" s="15">
        <v>6</v>
      </c>
      <c r="F105" s="15">
        <v>14</v>
      </c>
      <c r="G105" s="15">
        <v>2</v>
      </c>
      <c r="H105" s="15">
        <v>2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f t="shared" si="3"/>
        <v>6</v>
      </c>
      <c r="P105" s="15">
        <f t="shared" si="4"/>
        <v>16</v>
      </c>
      <c r="Q105" s="15">
        <f t="shared" si="5"/>
        <v>2</v>
      </c>
      <c r="R105" s="15">
        <v>0</v>
      </c>
      <c r="S105" s="15">
        <v>12</v>
      </c>
    </row>
    <row r="106" spans="1:19" x14ac:dyDescent="0.25">
      <c r="A106" s="15" t="s">
        <v>36</v>
      </c>
      <c r="B106" s="15">
        <v>12</v>
      </c>
      <c r="C106" s="15" t="s">
        <v>23</v>
      </c>
      <c r="D106" s="15">
        <v>2025</v>
      </c>
      <c r="E106" s="15">
        <v>0</v>
      </c>
      <c r="F106" s="15">
        <v>0</v>
      </c>
      <c r="G106" s="15">
        <v>0</v>
      </c>
      <c r="H106" s="15">
        <v>0</v>
      </c>
      <c r="I106" s="15">
        <v>7</v>
      </c>
      <c r="J106" s="15">
        <v>17</v>
      </c>
      <c r="K106" s="15">
        <v>0</v>
      </c>
      <c r="L106" s="15">
        <v>0</v>
      </c>
      <c r="M106" s="15">
        <v>0</v>
      </c>
      <c r="N106" s="15">
        <v>0</v>
      </c>
      <c r="O106" s="15">
        <f t="shared" si="3"/>
        <v>7</v>
      </c>
      <c r="P106" s="15">
        <f t="shared" si="4"/>
        <v>17</v>
      </c>
      <c r="Q106" s="15">
        <f t="shared" si="5"/>
        <v>0</v>
      </c>
      <c r="R106" s="15">
        <v>0</v>
      </c>
      <c r="S106" s="15">
        <v>12</v>
      </c>
    </row>
    <row r="107" spans="1:19" x14ac:dyDescent="0.25">
      <c r="A107" s="15" t="s">
        <v>45</v>
      </c>
      <c r="B107" s="15">
        <v>13</v>
      </c>
      <c r="C107" s="15" t="s">
        <v>23</v>
      </c>
      <c r="D107" s="15">
        <v>2025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19</v>
      </c>
      <c r="N107" s="15">
        <v>5</v>
      </c>
      <c r="O107" s="15">
        <f t="shared" si="3"/>
        <v>19</v>
      </c>
      <c r="P107" s="15">
        <f t="shared" si="4"/>
        <v>5</v>
      </c>
      <c r="Q107" s="15">
        <f t="shared" si="5"/>
        <v>0</v>
      </c>
      <c r="R107" s="15">
        <v>12</v>
      </c>
      <c r="S107" s="15">
        <v>0</v>
      </c>
    </row>
    <row r="108" spans="1:19" x14ac:dyDescent="0.25">
      <c r="A108" s="15" t="s">
        <v>46</v>
      </c>
      <c r="B108" s="15">
        <v>14</v>
      </c>
      <c r="C108" s="15" t="s">
        <v>23</v>
      </c>
      <c r="D108" s="15">
        <v>2025</v>
      </c>
      <c r="E108" s="15">
        <v>6</v>
      </c>
      <c r="F108" s="15">
        <v>14</v>
      </c>
      <c r="G108" s="15">
        <v>2</v>
      </c>
      <c r="H108" s="15">
        <v>2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f t="shared" si="3"/>
        <v>6</v>
      </c>
      <c r="P108" s="15">
        <f t="shared" si="4"/>
        <v>16</v>
      </c>
      <c r="Q108" s="15">
        <f t="shared" si="5"/>
        <v>2</v>
      </c>
      <c r="R108" s="15">
        <v>0</v>
      </c>
      <c r="S108" s="15">
        <v>12</v>
      </c>
    </row>
    <row r="109" spans="1:19" x14ac:dyDescent="0.25">
      <c r="A109" s="15" t="s">
        <v>47</v>
      </c>
      <c r="B109" s="15">
        <v>15</v>
      </c>
      <c r="C109" s="15" t="s">
        <v>23</v>
      </c>
      <c r="D109" s="15">
        <v>2025</v>
      </c>
      <c r="E109" s="15">
        <v>6</v>
      </c>
      <c r="F109" s="15">
        <v>14</v>
      </c>
      <c r="G109" s="15">
        <v>2</v>
      </c>
      <c r="H109" s="15">
        <v>2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f t="shared" si="3"/>
        <v>6</v>
      </c>
      <c r="P109" s="15">
        <f t="shared" si="4"/>
        <v>16</v>
      </c>
      <c r="Q109" s="15">
        <f t="shared" si="5"/>
        <v>2</v>
      </c>
      <c r="R109" s="15">
        <v>0</v>
      </c>
      <c r="S109" s="15">
        <v>12</v>
      </c>
    </row>
    <row r="110" spans="1:19" x14ac:dyDescent="0.25">
      <c r="A110" s="15" t="s">
        <v>42</v>
      </c>
      <c r="B110" s="15">
        <v>16</v>
      </c>
      <c r="C110" s="15" t="s">
        <v>23</v>
      </c>
      <c r="D110" s="15">
        <v>2025</v>
      </c>
      <c r="E110" s="15">
        <v>6</v>
      </c>
      <c r="F110" s="15">
        <v>14</v>
      </c>
      <c r="G110" s="15">
        <v>2</v>
      </c>
      <c r="H110" s="15">
        <v>2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f t="shared" si="3"/>
        <v>6</v>
      </c>
      <c r="P110" s="15">
        <f t="shared" si="4"/>
        <v>16</v>
      </c>
      <c r="Q110" s="15">
        <f t="shared" si="5"/>
        <v>2</v>
      </c>
      <c r="R110" s="15">
        <v>0</v>
      </c>
      <c r="S110" s="15">
        <v>12</v>
      </c>
    </row>
    <row r="111" spans="1:19" x14ac:dyDescent="0.25">
      <c r="A111" s="15" t="s">
        <v>43</v>
      </c>
      <c r="B111" s="15">
        <v>17</v>
      </c>
      <c r="C111" s="15" t="s">
        <v>23</v>
      </c>
      <c r="D111" s="15">
        <v>2025</v>
      </c>
      <c r="E111" s="15">
        <v>6</v>
      </c>
      <c r="F111" s="15">
        <v>14</v>
      </c>
      <c r="G111" s="15">
        <v>2</v>
      </c>
      <c r="H111" s="15">
        <v>2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f t="shared" si="3"/>
        <v>6</v>
      </c>
      <c r="P111" s="15">
        <f t="shared" si="4"/>
        <v>16</v>
      </c>
      <c r="Q111" s="15">
        <f t="shared" si="5"/>
        <v>2</v>
      </c>
      <c r="R111" s="15">
        <v>0</v>
      </c>
      <c r="S111" s="15">
        <v>12</v>
      </c>
    </row>
    <row r="112" spans="1:19" x14ac:dyDescent="0.25">
      <c r="A112" s="15" t="s">
        <v>44</v>
      </c>
      <c r="B112" s="15">
        <v>18</v>
      </c>
      <c r="C112" s="15" t="s">
        <v>23</v>
      </c>
      <c r="D112" s="15">
        <v>2025</v>
      </c>
      <c r="E112" s="15">
        <v>6</v>
      </c>
      <c r="F112" s="15">
        <v>14</v>
      </c>
      <c r="G112" s="15">
        <v>2</v>
      </c>
      <c r="H112" s="15">
        <v>2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f t="shared" si="3"/>
        <v>6</v>
      </c>
      <c r="P112" s="15">
        <f t="shared" si="4"/>
        <v>16</v>
      </c>
      <c r="Q112" s="15">
        <f t="shared" si="5"/>
        <v>2</v>
      </c>
      <c r="R112" s="15">
        <v>0</v>
      </c>
      <c r="S112" s="15">
        <v>12</v>
      </c>
    </row>
    <row r="113" spans="1:19" x14ac:dyDescent="0.25">
      <c r="A113" s="15" t="s">
        <v>36</v>
      </c>
      <c r="B113" s="15">
        <v>19</v>
      </c>
      <c r="C113" s="15" t="s">
        <v>23</v>
      </c>
      <c r="D113" s="15">
        <v>2025</v>
      </c>
      <c r="E113" s="15">
        <v>0</v>
      </c>
      <c r="F113" s="15">
        <v>0</v>
      </c>
      <c r="G113" s="15">
        <v>0</v>
      </c>
      <c r="H113" s="15">
        <v>0</v>
      </c>
      <c r="I113" s="15">
        <v>7</v>
      </c>
      <c r="J113" s="15">
        <v>17</v>
      </c>
      <c r="K113" s="15">
        <v>0</v>
      </c>
      <c r="L113" s="15">
        <v>0</v>
      </c>
      <c r="M113" s="15">
        <v>0</v>
      </c>
      <c r="N113" s="15">
        <v>0</v>
      </c>
      <c r="O113" s="15">
        <f t="shared" si="3"/>
        <v>7</v>
      </c>
      <c r="P113" s="15">
        <f t="shared" si="4"/>
        <v>17</v>
      </c>
      <c r="Q113" s="15">
        <f t="shared" si="5"/>
        <v>0</v>
      </c>
      <c r="R113" s="15">
        <v>0</v>
      </c>
      <c r="S113" s="15">
        <v>12</v>
      </c>
    </row>
    <row r="114" spans="1:19" x14ac:dyDescent="0.25">
      <c r="A114" s="15" t="s">
        <v>45</v>
      </c>
      <c r="B114" s="15">
        <v>20</v>
      </c>
      <c r="C114" s="15" t="s">
        <v>23</v>
      </c>
      <c r="D114" s="15">
        <v>2025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19</v>
      </c>
      <c r="N114" s="15">
        <v>5</v>
      </c>
      <c r="O114" s="15">
        <f t="shared" si="3"/>
        <v>19</v>
      </c>
      <c r="P114" s="15">
        <f t="shared" si="4"/>
        <v>5</v>
      </c>
      <c r="Q114" s="15">
        <f t="shared" si="5"/>
        <v>0</v>
      </c>
      <c r="R114" s="15">
        <v>12</v>
      </c>
      <c r="S114" s="15">
        <v>0</v>
      </c>
    </row>
    <row r="115" spans="1:19" x14ac:dyDescent="0.25">
      <c r="A115" s="15" t="s">
        <v>46</v>
      </c>
      <c r="B115" s="15">
        <v>21</v>
      </c>
      <c r="C115" s="15" t="s">
        <v>23</v>
      </c>
      <c r="D115" s="15">
        <v>2025</v>
      </c>
      <c r="E115" s="15">
        <v>6</v>
      </c>
      <c r="F115" s="15">
        <v>14</v>
      </c>
      <c r="G115" s="15">
        <v>2</v>
      </c>
      <c r="H115" s="15">
        <v>2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f t="shared" si="3"/>
        <v>6</v>
      </c>
      <c r="P115" s="15">
        <f t="shared" si="4"/>
        <v>16</v>
      </c>
      <c r="Q115" s="15">
        <f t="shared" si="5"/>
        <v>2</v>
      </c>
      <c r="R115" s="15">
        <v>0</v>
      </c>
      <c r="S115" s="15">
        <v>12</v>
      </c>
    </row>
    <row r="116" spans="1:19" x14ac:dyDescent="0.25">
      <c r="A116" s="15" t="s">
        <v>47</v>
      </c>
      <c r="B116" s="15">
        <v>22</v>
      </c>
      <c r="C116" s="15" t="s">
        <v>23</v>
      </c>
      <c r="D116" s="15">
        <v>2025</v>
      </c>
      <c r="E116" s="15">
        <v>6</v>
      </c>
      <c r="F116" s="15">
        <v>14</v>
      </c>
      <c r="G116" s="15">
        <v>2</v>
      </c>
      <c r="H116" s="15">
        <v>2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f t="shared" si="3"/>
        <v>6</v>
      </c>
      <c r="P116" s="15">
        <f t="shared" si="4"/>
        <v>16</v>
      </c>
      <c r="Q116" s="15">
        <f t="shared" si="5"/>
        <v>2</v>
      </c>
      <c r="R116" s="15">
        <v>0</v>
      </c>
      <c r="S116" s="15">
        <v>12</v>
      </c>
    </row>
    <row r="117" spans="1:19" x14ac:dyDescent="0.25">
      <c r="A117" s="15" t="s">
        <v>42</v>
      </c>
      <c r="B117" s="15">
        <v>23</v>
      </c>
      <c r="C117" s="15" t="s">
        <v>23</v>
      </c>
      <c r="D117" s="15">
        <v>2025</v>
      </c>
      <c r="E117" s="15">
        <v>6</v>
      </c>
      <c r="F117" s="15">
        <v>14</v>
      </c>
      <c r="G117" s="15">
        <v>2</v>
      </c>
      <c r="H117" s="15">
        <v>2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f t="shared" si="3"/>
        <v>6</v>
      </c>
      <c r="P117" s="15">
        <f t="shared" si="4"/>
        <v>16</v>
      </c>
      <c r="Q117" s="15">
        <f t="shared" si="5"/>
        <v>2</v>
      </c>
      <c r="R117" s="15">
        <v>0</v>
      </c>
      <c r="S117" s="15">
        <v>12</v>
      </c>
    </row>
    <row r="118" spans="1:19" x14ac:dyDescent="0.25">
      <c r="A118" s="15" t="s">
        <v>43</v>
      </c>
      <c r="B118" s="15">
        <v>24</v>
      </c>
      <c r="C118" s="15" t="s">
        <v>23</v>
      </c>
      <c r="D118" s="15">
        <v>2025</v>
      </c>
      <c r="E118" s="15">
        <v>6</v>
      </c>
      <c r="F118" s="15">
        <v>14</v>
      </c>
      <c r="G118" s="15">
        <v>2</v>
      </c>
      <c r="H118" s="15">
        <v>2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f t="shared" si="3"/>
        <v>6</v>
      </c>
      <c r="P118" s="15">
        <f t="shared" si="4"/>
        <v>16</v>
      </c>
      <c r="Q118" s="15">
        <f t="shared" si="5"/>
        <v>2</v>
      </c>
      <c r="R118" s="15">
        <v>0</v>
      </c>
      <c r="S118" s="15">
        <v>12</v>
      </c>
    </row>
    <row r="119" spans="1:19" x14ac:dyDescent="0.25">
      <c r="A119" s="15" t="s">
        <v>44</v>
      </c>
      <c r="B119" s="15">
        <v>25</v>
      </c>
      <c r="C119" s="15" t="s">
        <v>23</v>
      </c>
      <c r="D119" s="15">
        <v>2025</v>
      </c>
      <c r="E119" s="15">
        <v>6</v>
      </c>
      <c r="F119" s="15">
        <v>14</v>
      </c>
      <c r="G119" s="15">
        <v>2</v>
      </c>
      <c r="H119" s="15">
        <v>2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f t="shared" si="3"/>
        <v>6</v>
      </c>
      <c r="P119" s="15">
        <f t="shared" si="4"/>
        <v>16</v>
      </c>
      <c r="Q119" s="15">
        <f t="shared" si="5"/>
        <v>2</v>
      </c>
      <c r="R119" s="15">
        <v>0</v>
      </c>
      <c r="S119" s="15">
        <v>12</v>
      </c>
    </row>
    <row r="120" spans="1:19" x14ac:dyDescent="0.25">
      <c r="A120" s="15" t="s">
        <v>36</v>
      </c>
      <c r="B120" s="15">
        <v>26</v>
      </c>
      <c r="C120" s="15" t="s">
        <v>23</v>
      </c>
      <c r="D120" s="15">
        <v>2025</v>
      </c>
      <c r="E120" s="15">
        <v>0</v>
      </c>
      <c r="F120" s="15">
        <v>0</v>
      </c>
      <c r="G120" s="15">
        <v>0</v>
      </c>
      <c r="H120" s="15">
        <v>0</v>
      </c>
      <c r="I120" s="15">
        <v>7</v>
      </c>
      <c r="J120" s="15">
        <v>17</v>
      </c>
      <c r="K120" s="15">
        <v>0</v>
      </c>
      <c r="L120" s="15">
        <v>0</v>
      </c>
      <c r="M120" s="15">
        <v>0</v>
      </c>
      <c r="N120" s="15">
        <v>0</v>
      </c>
      <c r="O120" s="15">
        <f t="shared" si="3"/>
        <v>7</v>
      </c>
      <c r="P120" s="15">
        <f t="shared" si="4"/>
        <v>17</v>
      </c>
      <c r="Q120" s="15">
        <f t="shared" si="5"/>
        <v>0</v>
      </c>
      <c r="R120" s="15">
        <v>0</v>
      </c>
      <c r="S120" s="15">
        <v>12</v>
      </c>
    </row>
    <row r="121" spans="1:19" x14ac:dyDescent="0.25">
      <c r="A121" s="15" t="s">
        <v>45</v>
      </c>
      <c r="B121" s="15">
        <v>27</v>
      </c>
      <c r="C121" s="15" t="s">
        <v>23</v>
      </c>
      <c r="D121" s="15">
        <v>2025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19</v>
      </c>
      <c r="N121" s="15">
        <v>5</v>
      </c>
      <c r="O121" s="15">
        <f t="shared" si="3"/>
        <v>19</v>
      </c>
      <c r="P121" s="15">
        <f t="shared" si="4"/>
        <v>5</v>
      </c>
      <c r="Q121" s="15">
        <f t="shared" si="5"/>
        <v>0</v>
      </c>
      <c r="R121" s="15">
        <v>12</v>
      </c>
      <c r="S121" s="15">
        <v>0</v>
      </c>
    </row>
    <row r="122" spans="1:19" x14ac:dyDescent="0.25">
      <c r="A122" s="15" t="s">
        <v>46</v>
      </c>
      <c r="B122" s="15">
        <v>28</v>
      </c>
      <c r="C122" s="15" t="s">
        <v>23</v>
      </c>
      <c r="D122" s="15">
        <v>2025</v>
      </c>
      <c r="E122" s="15">
        <v>6</v>
      </c>
      <c r="F122" s="15">
        <v>14</v>
      </c>
      <c r="G122" s="15">
        <v>2</v>
      </c>
      <c r="H122" s="15">
        <v>2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f t="shared" si="3"/>
        <v>6</v>
      </c>
      <c r="P122" s="15">
        <f t="shared" si="4"/>
        <v>16</v>
      </c>
      <c r="Q122" s="15">
        <f t="shared" si="5"/>
        <v>2</v>
      </c>
      <c r="R122" s="15">
        <v>0</v>
      </c>
      <c r="S122" s="15">
        <v>12</v>
      </c>
    </row>
    <row r="123" spans="1:19" x14ac:dyDescent="0.25">
      <c r="A123" s="15" t="s">
        <v>47</v>
      </c>
      <c r="B123" s="15">
        <v>29</v>
      </c>
      <c r="C123" s="15" t="s">
        <v>23</v>
      </c>
      <c r="D123" s="15">
        <v>2025</v>
      </c>
      <c r="E123" s="15">
        <v>6</v>
      </c>
      <c r="F123" s="15">
        <v>14</v>
      </c>
      <c r="G123" s="15">
        <v>2</v>
      </c>
      <c r="H123" s="15">
        <v>2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f t="shared" si="3"/>
        <v>6</v>
      </c>
      <c r="P123" s="15">
        <f t="shared" si="4"/>
        <v>16</v>
      </c>
      <c r="Q123" s="15">
        <f t="shared" si="5"/>
        <v>2</v>
      </c>
      <c r="R123" s="15">
        <v>0</v>
      </c>
      <c r="S123" s="15">
        <v>12</v>
      </c>
    </row>
    <row r="124" spans="1:19" x14ac:dyDescent="0.25">
      <c r="A124" s="15" t="s">
        <v>42</v>
      </c>
      <c r="B124" s="15">
        <v>30</v>
      </c>
      <c r="C124" s="15" t="s">
        <v>23</v>
      </c>
      <c r="D124" s="15">
        <v>2025</v>
      </c>
      <c r="E124" s="15">
        <v>6</v>
      </c>
      <c r="F124" s="15">
        <v>14</v>
      </c>
      <c r="G124" s="15">
        <v>2</v>
      </c>
      <c r="H124" s="15">
        <v>2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f t="shared" si="3"/>
        <v>6</v>
      </c>
      <c r="P124" s="15">
        <f t="shared" si="4"/>
        <v>16</v>
      </c>
      <c r="Q124" s="15">
        <f t="shared" si="5"/>
        <v>2</v>
      </c>
      <c r="R124" s="15">
        <v>0</v>
      </c>
      <c r="S124" s="15">
        <v>12</v>
      </c>
    </row>
    <row r="125" spans="1:19" x14ac:dyDescent="0.25">
      <c r="A125" s="23" t="s">
        <v>43</v>
      </c>
      <c r="B125" s="23">
        <v>1</v>
      </c>
      <c r="C125" s="23" t="s">
        <v>24</v>
      </c>
      <c r="D125" s="23">
        <v>2025</v>
      </c>
      <c r="E125" s="23">
        <v>6</v>
      </c>
      <c r="F125" s="23">
        <v>14</v>
      </c>
      <c r="G125" s="23">
        <v>2</v>
      </c>
      <c r="H125" s="23">
        <v>2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f t="shared" si="3"/>
        <v>6</v>
      </c>
      <c r="P125" s="23">
        <f t="shared" si="4"/>
        <v>16</v>
      </c>
      <c r="Q125" s="23">
        <f t="shared" si="5"/>
        <v>2</v>
      </c>
      <c r="R125" s="23">
        <v>0</v>
      </c>
      <c r="S125" s="23">
        <v>12</v>
      </c>
    </row>
    <row r="126" spans="1:19" x14ac:dyDescent="0.25">
      <c r="A126" s="23" t="s">
        <v>44</v>
      </c>
      <c r="B126" s="23">
        <v>2</v>
      </c>
      <c r="C126" s="23" t="s">
        <v>24</v>
      </c>
      <c r="D126" s="23">
        <v>2025</v>
      </c>
      <c r="E126" s="23">
        <v>6</v>
      </c>
      <c r="F126" s="23">
        <v>14</v>
      </c>
      <c r="G126" s="23">
        <v>2</v>
      </c>
      <c r="H126" s="23">
        <v>2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f t="shared" si="3"/>
        <v>6</v>
      </c>
      <c r="P126" s="23">
        <f t="shared" si="4"/>
        <v>16</v>
      </c>
      <c r="Q126" s="23">
        <f t="shared" si="5"/>
        <v>2</v>
      </c>
      <c r="R126" s="23">
        <v>0</v>
      </c>
      <c r="S126" s="23">
        <v>12</v>
      </c>
    </row>
    <row r="127" spans="1:19" x14ac:dyDescent="0.25">
      <c r="A127" s="23" t="s">
        <v>36</v>
      </c>
      <c r="B127" s="23">
        <v>3</v>
      </c>
      <c r="C127" s="23" t="s">
        <v>24</v>
      </c>
      <c r="D127" s="23">
        <v>2025</v>
      </c>
      <c r="E127" s="23">
        <v>0</v>
      </c>
      <c r="F127" s="23">
        <v>0</v>
      </c>
      <c r="G127" s="23">
        <v>0</v>
      </c>
      <c r="H127" s="23">
        <v>0</v>
      </c>
      <c r="I127" s="23">
        <v>7</v>
      </c>
      <c r="J127" s="23">
        <v>17</v>
      </c>
      <c r="K127" s="23">
        <v>0</v>
      </c>
      <c r="L127" s="23">
        <v>0</v>
      </c>
      <c r="M127" s="23">
        <v>0</v>
      </c>
      <c r="N127" s="23">
        <v>0</v>
      </c>
      <c r="O127" s="23">
        <f t="shared" si="3"/>
        <v>7</v>
      </c>
      <c r="P127" s="23">
        <f t="shared" si="4"/>
        <v>17</v>
      </c>
      <c r="Q127" s="23">
        <f t="shared" si="5"/>
        <v>0</v>
      </c>
      <c r="R127" s="23">
        <v>0</v>
      </c>
      <c r="S127" s="23">
        <v>12</v>
      </c>
    </row>
    <row r="128" spans="1:19" x14ac:dyDescent="0.25">
      <c r="A128" s="23" t="s">
        <v>45</v>
      </c>
      <c r="B128" s="23">
        <v>4</v>
      </c>
      <c r="C128" s="23" t="s">
        <v>24</v>
      </c>
      <c r="D128" s="23">
        <v>2025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19</v>
      </c>
      <c r="N128" s="23">
        <v>5</v>
      </c>
      <c r="O128" s="23">
        <f t="shared" si="3"/>
        <v>19</v>
      </c>
      <c r="P128" s="23">
        <f t="shared" si="4"/>
        <v>5</v>
      </c>
      <c r="Q128" s="23">
        <f t="shared" si="5"/>
        <v>0</v>
      </c>
      <c r="R128" s="23">
        <v>12</v>
      </c>
      <c r="S128" s="23">
        <v>0</v>
      </c>
    </row>
    <row r="129" spans="1:19" x14ac:dyDescent="0.25">
      <c r="A129" s="23" t="s">
        <v>46</v>
      </c>
      <c r="B129" s="23">
        <v>5</v>
      </c>
      <c r="C129" s="23" t="s">
        <v>24</v>
      </c>
      <c r="D129" s="23">
        <v>2025</v>
      </c>
      <c r="E129" s="23">
        <v>6</v>
      </c>
      <c r="F129" s="23">
        <v>14</v>
      </c>
      <c r="G129" s="23">
        <v>2</v>
      </c>
      <c r="H129" s="23">
        <v>2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f t="shared" si="3"/>
        <v>6</v>
      </c>
      <c r="P129" s="23">
        <f t="shared" si="4"/>
        <v>16</v>
      </c>
      <c r="Q129" s="23">
        <f t="shared" si="5"/>
        <v>2</v>
      </c>
      <c r="R129" s="23">
        <v>0</v>
      </c>
      <c r="S129" s="23">
        <v>12</v>
      </c>
    </row>
    <row r="130" spans="1:19" x14ac:dyDescent="0.25">
      <c r="A130" s="23" t="s">
        <v>47</v>
      </c>
      <c r="B130" s="23">
        <v>6</v>
      </c>
      <c r="C130" s="23" t="s">
        <v>24</v>
      </c>
      <c r="D130" s="23">
        <v>2025</v>
      </c>
      <c r="E130" s="23">
        <v>6</v>
      </c>
      <c r="F130" s="23">
        <v>14</v>
      </c>
      <c r="G130" s="23">
        <v>2</v>
      </c>
      <c r="H130" s="23">
        <v>2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f t="shared" si="3"/>
        <v>6</v>
      </c>
      <c r="P130" s="23">
        <f t="shared" si="4"/>
        <v>16</v>
      </c>
      <c r="Q130" s="23">
        <f t="shared" si="5"/>
        <v>2</v>
      </c>
      <c r="R130" s="23">
        <v>0</v>
      </c>
      <c r="S130" s="23">
        <v>12</v>
      </c>
    </row>
    <row r="131" spans="1:19" x14ac:dyDescent="0.25">
      <c r="A131" s="23" t="s">
        <v>42</v>
      </c>
      <c r="B131" s="23">
        <v>7</v>
      </c>
      <c r="C131" s="23" t="s">
        <v>24</v>
      </c>
      <c r="D131" s="23">
        <v>2025</v>
      </c>
      <c r="E131" s="23">
        <v>6</v>
      </c>
      <c r="F131" s="23">
        <v>14</v>
      </c>
      <c r="G131" s="23">
        <v>2</v>
      </c>
      <c r="H131" s="23">
        <v>2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f t="shared" ref="O131:O194" si="6">SUM(E131,I131,M131)</f>
        <v>6</v>
      </c>
      <c r="P131" s="23">
        <f t="shared" ref="P131:P194" si="7">SUM(F131,H131,J131,L131,N131)</f>
        <v>16</v>
      </c>
      <c r="Q131" s="23">
        <f t="shared" ref="Q131:Q194" si="8">SUM(G131,K131)</f>
        <v>2</v>
      </c>
      <c r="R131" s="23">
        <v>0</v>
      </c>
      <c r="S131" s="23">
        <v>12</v>
      </c>
    </row>
    <row r="132" spans="1:19" x14ac:dyDescent="0.25">
      <c r="A132" s="23" t="s">
        <v>43</v>
      </c>
      <c r="B132" s="23">
        <v>8</v>
      </c>
      <c r="C132" s="23" t="s">
        <v>24</v>
      </c>
      <c r="D132" s="23">
        <v>2025</v>
      </c>
      <c r="E132" s="23">
        <v>6</v>
      </c>
      <c r="F132" s="23">
        <v>14</v>
      </c>
      <c r="G132" s="23">
        <v>2</v>
      </c>
      <c r="H132" s="23">
        <v>2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f t="shared" si="6"/>
        <v>6</v>
      </c>
      <c r="P132" s="23">
        <f t="shared" si="7"/>
        <v>16</v>
      </c>
      <c r="Q132" s="23">
        <f t="shared" si="8"/>
        <v>2</v>
      </c>
      <c r="R132" s="23">
        <v>0</v>
      </c>
      <c r="S132" s="23">
        <v>12</v>
      </c>
    </row>
    <row r="133" spans="1:19" x14ac:dyDescent="0.25">
      <c r="A133" s="23" t="s">
        <v>44</v>
      </c>
      <c r="B133" s="23">
        <v>9</v>
      </c>
      <c r="C133" s="23" t="s">
        <v>24</v>
      </c>
      <c r="D133" s="23">
        <v>2025</v>
      </c>
      <c r="E133" s="23">
        <v>6</v>
      </c>
      <c r="F133" s="23">
        <v>14</v>
      </c>
      <c r="G133" s="23">
        <v>2</v>
      </c>
      <c r="H133" s="23">
        <v>2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f t="shared" si="6"/>
        <v>6</v>
      </c>
      <c r="P133" s="23">
        <f t="shared" si="7"/>
        <v>16</v>
      </c>
      <c r="Q133" s="23">
        <f t="shared" si="8"/>
        <v>2</v>
      </c>
      <c r="R133" s="23">
        <v>0</v>
      </c>
      <c r="S133" s="23">
        <v>12</v>
      </c>
    </row>
    <row r="134" spans="1:19" x14ac:dyDescent="0.25">
      <c r="A134" s="23" t="s">
        <v>36</v>
      </c>
      <c r="B134" s="23">
        <v>10</v>
      </c>
      <c r="C134" s="23" t="s">
        <v>24</v>
      </c>
      <c r="D134" s="23">
        <v>2025</v>
      </c>
      <c r="E134" s="23">
        <v>0</v>
      </c>
      <c r="F134" s="23">
        <v>0</v>
      </c>
      <c r="G134" s="23">
        <v>0</v>
      </c>
      <c r="H134" s="23">
        <v>0</v>
      </c>
      <c r="I134" s="23">
        <v>7</v>
      </c>
      <c r="J134" s="23">
        <v>17</v>
      </c>
      <c r="K134" s="23">
        <v>0</v>
      </c>
      <c r="L134" s="23">
        <v>0</v>
      </c>
      <c r="M134" s="23">
        <v>0</v>
      </c>
      <c r="N134" s="23">
        <v>0</v>
      </c>
      <c r="O134" s="23">
        <f t="shared" si="6"/>
        <v>7</v>
      </c>
      <c r="P134" s="23">
        <f t="shared" si="7"/>
        <v>17</v>
      </c>
      <c r="Q134" s="23">
        <f t="shared" si="8"/>
        <v>0</v>
      </c>
      <c r="R134" s="23">
        <v>0</v>
      </c>
      <c r="S134" s="23">
        <v>12</v>
      </c>
    </row>
    <row r="135" spans="1:19" x14ac:dyDescent="0.25">
      <c r="A135" s="23" t="s">
        <v>45</v>
      </c>
      <c r="B135" s="23">
        <v>11</v>
      </c>
      <c r="C135" s="23" t="s">
        <v>24</v>
      </c>
      <c r="D135" s="23">
        <v>2025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19</v>
      </c>
      <c r="N135" s="23">
        <v>5</v>
      </c>
      <c r="O135" s="23">
        <f t="shared" si="6"/>
        <v>19</v>
      </c>
      <c r="P135" s="23">
        <f t="shared" si="7"/>
        <v>5</v>
      </c>
      <c r="Q135" s="23">
        <f t="shared" si="8"/>
        <v>0</v>
      </c>
      <c r="R135" s="23">
        <v>12</v>
      </c>
      <c r="S135" s="23">
        <v>0</v>
      </c>
    </row>
    <row r="136" spans="1:19" x14ac:dyDescent="0.25">
      <c r="A136" s="23" t="s">
        <v>46</v>
      </c>
      <c r="B136" s="23">
        <v>12</v>
      </c>
      <c r="C136" s="23" t="s">
        <v>24</v>
      </c>
      <c r="D136" s="23">
        <v>2025</v>
      </c>
      <c r="E136" s="23">
        <v>6</v>
      </c>
      <c r="F136" s="23">
        <v>14</v>
      </c>
      <c r="G136" s="23">
        <v>2</v>
      </c>
      <c r="H136" s="23">
        <v>2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f t="shared" si="6"/>
        <v>6</v>
      </c>
      <c r="P136" s="23">
        <f t="shared" si="7"/>
        <v>16</v>
      </c>
      <c r="Q136" s="23">
        <f t="shared" si="8"/>
        <v>2</v>
      </c>
      <c r="R136" s="23">
        <v>0</v>
      </c>
      <c r="S136" s="23">
        <v>12</v>
      </c>
    </row>
    <row r="137" spans="1:19" x14ac:dyDescent="0.25">
      <c r="A137" s="23" t="s">
        <v>47</v>
      </c>
      <c r="B137" s="23">
        <v>13</v>
      </c>
      <c r="C137" s="23" t="s">
        <v>24</v>
      </c>
      <c r="D137" s="23">
        <v>2025</v>
      </c>
      <c r="E137" s="23">
        <v>6</v>
      </c>
      <c r="F137" s="23">
        <v>14</v>
      </c>
      <c r="G137" s="23">
        <v>2</v>
      </c>
      <c r="H137" s="23">
        <v>2</v>
      </c>
      <c r="I137" s="23">
        <v>0</v>
      </c>
      <c r="J137" s="23">
        <v>0</v>
      </c>
      <c r="K137" s="23">
        <v>0</v>
      </c>
      <c r="L137" s="23">
        <v>0</v>
      </c>
      <c r="M137" s="23">
        <v>0</v>
      </c>
      <c r="N137" s="23">
        <v>0</v>
      </c>
      <c r="O137" s="23">
        <f t="shared" si="6"/>
        <v>6</v>
      </c>
      <c r="P137" s="23">
        <f t="shared" si="7"/>
        <v>16</v>
      </c>
      <c r="Q137" s="23">
        <f t="shared" si="8"/>
        <v>2</v>
      </c>
      <c r="R137" s="23">
        <v>0</v>
      </c>
      <c r="S137" s="23">
        <v>12</v>
      </c>
    </row>
    <row r="138" spans="1:19" x14ac:dyDescent="0.25">
      <c r="A138" s="23" t="s">
        <v>42</v>
      </c>
      <c r="B138" s="23">
        <v>14</v>
      </c>
      <c r="C138" s="23" t="s">
        <v>24</v>
      </c>
      <c r="D138" s="23">
        <v>2025</v>
      </c>
      <c r="E138" s="23">
        <v>6</v>
      </c>
      <c r="F138" s="23">
        <v>14</v>
      </c>
      <c r="G138" s="23">
        <v>2</v>
      </c>
      <c r="H138" s="23">
        <v>2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f t="shared" si="6"/>
        <v>6</v>
      </c>
      <c r="P138" s="23">
        <f t="shared" si="7"/>
        <v>16</v>
      </c>
      <c r="Q138" s="23">
        <f t="shared" si="8"/>
        <v>2</v>
      </c>
      <c r="R138" s="23">
        <v>0</v>
      </c>
      <c r="S138" s="23">
        <v>12</v>
      </c>
    </row>
    <row r="139" spans="1:19" x14ac:dyDescent="0.25">
      <c r="A139" s="23" t="s">
        <v>43</v>
      </c>
      <c r="B139" s="23">
        <v>15</v>
      </c>
      <c r="C139" s="23" t="s">
        <v>24</v>
      </c>
      <c r="D139" s="23">
        <v>2025</v>
      </c>
      <c r="E139" s="23">
        <v>6</v>
      </c>
      <c r="F139" s="23">
        <v>14</v>
      </c>
      <c r="G139" s="23">
        <v>2</v>
      </c>
      <c r="H139" s="23">
        <v>2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f t="shared" si="6"/>
        <v>6</v>
      </c>
      <c r="P139" s="23">
        <f t="shared" si="7"/>
        <v>16</v>
      </c>
      <c r="Q139" s="23">
        <f t="shared" si="8"/>
        <v>2</v>
      </c>
      <c r="R139" s="23">
        <v>0</v>
      </c>
      <c r="S139" s="23">
        <v>12</v>
      </c>
    </row>
    <row r="140" spans="1:19" x14ac:dyDescent="0.25">
      <c r="A140" s="23" t="s">
        <v>44</v>
      </c>
      <c r="B140" s="23">
        <v>16</v>
      </c>
      <c r="C140" s="23" t="s">
        <v>24</v>
      </c>
      <c r="D140" s="23">
        <v>2025</v>
      </c>
      <c r="E140" s="23">
        <v>6</v>
      </c>
      <c r="F140" s="23">
        <v>14</v>
      </c>
      <c r="G140" s="23">
        <v>2</v>
      </c>
      <c r="H140" s="23">
        <v>2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f t="shared" si="6"/>
        <v>6</v>
      </c>
      <c r="P140" s="23">
        <f t="shared" si="7"/>
        <v>16</v>
      </c>
      <c r="Q140" s="23">
        <f t="shared" si="8"/>
        <v>2</v>
      </c>
      <c r="R140" s="23">
        <v>0</v>
      </c>
      <c r="S140" s="23">
        <v>12</v>
      </c>
    </row>
    <row r="141" spans="1:19" x14ac:dyDescent="0.25">
      <c r="A141" s="23" t="s">
        <v>36</v>
      </c>
      <c r="B141" s="23">
        <v>17</v>
      </c>
      <c r="C141" s="23" t="s">
        <v>24</v>
      </c>
      <c r="D141" s="23">
        <v>2025</v>
      </c>
      <c r="E141" s="23">
        <v>0</v>
      </c>
      <c r="F141" s="23">
        <v>0</v>
      </c>
      <c r="G141" s="23">
        <v>0</v>
      </c>
      <c r="H141" s="23">
        <v>0</v>
      </c>
      <c r="I141" s="23">
        <v>7</v>
      </c>
      <c r="J141" s="23">
        <v>17</v>
      </c>
      <c r="K141" s="23">
        <v>0</v>
      </c>
      <c r="L141" s="23">
        <v>0</v>
      </c>
      <c r="M141" s="23">
        <v>0</v>
      </c>
      <c r="N141" s="23">
        <v>0</v>
      </c>
      <c r="O141" s="23">
        <f t="shared" si="6"/>
        <v>7</v>
      </c>
      <c r="P141" s="23">
        <f t="shared" si="7"/>
        <v>17</v>
      </c>
      <c r="Q141" s="23">
        <f t="shared" si="8"/>
        <v>0</v>
      </c>
      <c r="R141" s="23">
        <v>0</v>
      </c>
      <c r="S141" s="23">
        <v>12</v>
      </c>
    </row>
    <row r="142" spans="1:19" x14ac:dyDescent="0.25">
      <c r="A142" s="23" t="s">
        <v>45</v>
      </c>
      <c r="B142" s="23">
        <v>18</v>
      </c>
      <c r="C142" s="23" t="s">
        <v>24</v>
      </c>
      <c r="D142" s="23">
        <v>2025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19</v>
      </c>
      <c r="N142" s="23">
        <v>5</v>
      </c>
      <c r="O142" s="23">
        <f t="shared" si="6"/>
        <v>19</v>
      </c>
      <c r="P142" s="23">
        <f t="shared" si="7"/>
        <v>5</v>
      </c>
      <c r="Q142" s="23">
        <f t="shared" si="8"/>
        <v>0</v>
      </c>
      <c r="R142" s="23">
        <v>12</v>
      </c>
      <c r="S142" s="23">
        <v>0</v>
      </c>
    </row>
    <row r="143" spans="1:19" x14ac:dyDescent="0.25">
      <c r="A143" s="23" t="s">
        <v>46</v>
      </c>
      <c r="B143" s="23">
        <v>19</v>
      </c>
      <c r="C143" s="23" t="s">
        <v>24</v>
      </c>
      <c r="D143" s="23">
        <v>2025</v>
      </c>
      <c r="E143" s="23">
        <v>6</v>
      </c>
      <c r="F143" s="23">
        <v>14</v>
      </c>
      <c r="G143" s="23">
        <v>2</v>
      </c>
      <c r="H143" s="23">
        <v>2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f t="shared" si="6"/>
        <v>6</v>
      </c>
      <c r="P143" s="23">
        <f t="shared" si="7"/>
        <v>16</v>
      </c>
      <c r="Q143" s="23">
        <f t="shared" si="8"/>
        <v>2</v>
      </c>
      <c r="R143" s="23">
        <v>0</v>
      </c>
      <c r="S143" s="23">
        <v>12</v>
      </c>
    </row>
    <row r="144" spans="1:19" x14ac:dyDescent="0.25">
      <c r="A144" s="23" t="s">
        <v>47</v>
      </c>
      <c r="B144" s="23">
        <v>20</v>
      </c>
      <c r="C144" s="23" t="s">
        <v>24</v>
      </c>
      <c r="D144" s="23">
        <v>2025</v>
      </c>
      <c r="E144" s="23">
        <v>6</v>
      </c>
      <c r="F144" s="23">
        <v>14</v>
      </c>
      <c r="G144" s="23">
        <v>2</v>
      </c>
      <c r="H144" s="23">
        <v>2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f t="shared" si="6"/>
        <v>6</v>
      </c>
      <c r="P144" s="23">
        <f t="shared" si="7"/>
        <v>16</v>
      </c>
      <c r="Q144" s="23">
        <f t="shared" si="8"/>
        <v>2</v>
      </c>
      <c r="R144" s="23">
        <v>0</v>
      </c>
      <c r="S144" s="23">
        <v>12</v>
      </c>
    </row>
    <row r="145" spans="1:19" x14ac:dyDescent="0.25">
      <c r="A145" s="23" t="s">
        <v>42</v>
      </c>
      <c r="B145" s="23">
        <v>21</v>
      </c>
      <c r="C145" s="23" t="s">
        <v>24</v>
      </c>
      <c r="D145" s="23">
        <v>2025</v>
      </c>
      <c r="E145" s="23">
        <v>6</v>
      </c>
      <c r="F145" s="23">
        <v>14</v>
      </c>
      <c r="G145" s="23">
        <v>2</v>
      </c>
      <c r="H145" s="23">
        <v>2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f t="shared" si="6"/>
        <v>6</v>
      </c>
      <c r="P145" s="23">
        <f t="shared" si="7"/>
        <v>16</v>
      </c>
      <c r="Q145" s="23">
        <f t="shared" si="8"/>
        <v>2</v>
      </c>
      <c r="R145" s="23">
        <v>0</v>
      </c>
      <c r="S145" s="23">
        <v>12</v>
      </c>
    </row>
    <row r="146" spans="1:19" x14ac:dyDescent="0.25">
      <c r="A146" s="23" t="s">
        <v>43</v>
      </c>
      <c r="B146" s="23">
        <v>22</v>
      </c>
      <c r="C146" s="23" t="s">
        <v>24</v>
      </c>
      <c r="D146" s="23">
        <v>2025</v>
      </c>
      <c r="E146" s="23">
        <v>6</v>
      </c>
      <c r="F146" s="23">
        <v>14</v>
      </c>
      <c r="G146" s="23">
        <v>2</v>
      </c>
      <c r="H146" s="23">
        <v>2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f t="shared" si="6"/>
        <v>6</v>
      </c>
      <c r="P146" s="23">
        <f t="shared" si="7"/>
        <v>16</v>
      </c>
      <c r="Q146" s="23">
        <f t="shared" si="8"/>
        <v>2</v>
      </c>
      <c r="R146" s="23">
        <v>0</v>
      </c>
      <c r="S146" s="23">
        <v>12</v>
      </c>
    </row>
    <row r="147" spans="1:19" x14ac:dyDescent="0.25">
      <c r="A147" s="23" t="s">
        <v>44</v>
      </c>
      <c r="B147" s="23">
        <v>23</v>
      </c>
      <c r="C147" s="23" t="s">
        <v>24</v>
      </c>
      <c r="D147" s="23">
        <v>2025</v>
      </c>
      <c r="E147" s="23">
        <v>6</v>
      </c>
      <c r="F147" s="23">
        <v>14</v>
      </c>
      <c r="G147" s="23">
        <v>2</v>
      </c>
      <c r="H147" s="23">
        <v>2</v>
      </c>
      <c r="I147" s="23">
        <v>0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f t="shared" si="6"/>
        <v>6</v>
      </c>
      <c r="P147" s="23">
        <f t="shared" si="7"/>
        <v>16</v>
      </c>
      <c r="Q147" s="23">
        <f t="shared" si="8"/>
        <v>2</v>
      </c>
      <c r="R147" s="23">
        <v>0</v>
      </c>
      <c r="S147" s="23">
        <v>12</v>
      </c>
    </row>
    <row r="148" spans="1:19" x14ac:dyDescent="0.25">
      <c r="A148" s="23" t="s">
        <v>36</v>
      </c>
      <c r="B148" s="23">
        <v>24</v>
      </c>
      <c r="C148" s="23" t="s">
        <v>24</v>
      </c>
      <c r="D148" s="23">
        <v>2025</v>
      </c>
      <c r="E148" s="23">
        <v>0</v>
      </c>
      <c r="F148" s="23">
        <v>0</v>
      </c>
      <c r="G148" s="23">
        <v>0</v>
      </c>
      <c r="H148" s="23">
        <v>0</v>
      </c>
      <c r="I148" s="23">
        <v>7</v>
      </c>
      <c r="J148" s="23">
        <v>17</v>
      </c>
      <c r="K148" s="23">
        <v>0</v>
      </c>
      <c r="L148" s="23">
        <v>0</v>
      </c>
      <c r="M148" s="23">
        <v>0</v>
      </c>
      <c r="N148" s="23">
        <v>0</v>
      </c>
      <c r="O148" s="23">
        <f t="shared" si="6"/>
        <v>7</v>
      </c>
      <c r="P148" s="23">
        <f t="shared" si="7"/>
        <v>17</v>
      </c>
      <c r="Q148" s="23">
        <f t="shared" si="8"/>
        <v>0</v>
      </c>
      <c r="R148" s="23">
        <v>0</v>
      </c>
      <c r="S148" s="23">
        <v>12</v>
      </c>
    </row>
    <row r="149" spans="1:19" x14ac:dyDescent="0.25">
      <c r="A149" s="23" t="s">
        <v>45</v>
      </c>
      <c r="B149" s="23">
        <v>25</v>
      </c>
      <c r="C149" s="23" t="s">
        <v>24</v>
      </c>
      <c r="D149" s="23">
        <v>2025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19</v>
      </c>
      <c r="N149" s="23">
        <v>5</v>
      </c>
      <c r="O149" s="23">
        <f t="shared" si="6"/>
        <v>19</v>
      </c>
      <c r="P149" s="23">
        <f t="shared" si="7"/>
        <v>5</v>
      </c>
      <c r="Q149" s="23">
        <f t="shared" si="8"/>
        <v>0</v>
      </c>
      <c r="R149" s="23">
        <v>12</v>
      </c>
      <c r="S149" s="23">
        <v>0</v>
      </c>
    </row>
    <row r="150" spans="1:19" x14ac:dyDescent="0.25">
      <c r="A150" s="23" t="s">
        <v>46</v>
      </c>
      <c r="B150" s="23">
        <v>26</v>
      </c>
      <c r="C150" s="23" t="s">
        <v>24</v>
      </c>
      <c r="D150" s="23">
        <v>2025</v>
      </c>
      <c r="E150" s="23">
        <v>6</v>
      </c>
      <c r="F150" s="23">
        <v>14</v>
      </c>
      <c r="G150" s="23">
        <v>2</v>
      </c>
      <c r="H150" s="23">
        <v>2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f t="shared" si="6"/>
        <v>6</v>
      </c>
      <c r="P150" s="23">
        <f t="shared" si="7"/>
        <v>16</v>
      </c>
      <c r="Q150" s="23">
        <f t="shared" si="8"/>
        <v>2</v>
      </c>
      <c r="R150" s="23">
        <v>0</v>
      </c>
      <c r="S150" s="23">
        <v>12</v>
      </c>
    </row>
    <row r="151" spans="1:19" x14ac:dyDescent="0.25">
      <c r="A151" s="23" t="s">
        <v>47</v>
      </c>
      <c r="B151" s="23">
        <v>27</v>
      </c>
      <c r="C151" s="23" t="s">
        <v>24</v>
      </c>
      <c r="D151" s="23">
        <v>2025</v>
      </c>
      <c r="E151" s="23">
        <v>6</v>
      </c>
      <c r="F151" s="23">
        <v>14</v>
      </c>
      <c r="G151" s="23">
        <v>2</v>
      </c>
      <c r="H151" s="23">
        <v>2</v>
      </c>
      <c r="I151" s="23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f t="shared" si="6"/>
        <v>6</v>
      </c>
      <c r="P151" s="23">
        <f t="shared" si="7"/>
        <v>16</v>
      </c>
      <c r="Q151" s="23">
        <f t="shared" si="8"/>
        <v>2</v>
      </c>
      <c r="R151" s="23">
        <v>0</v>
      </c>
      <c r="S151" s="23">
        <v>12</v>
      </c>
    </row>
    <row r="152" spans="1:19" x14ac:dyDescent="0.25">
      <c r="A152" s="23" t="s">
        <v>42</v>
      </c>
      <c r="B152" s="23">
        <v>28</v>
      </c>
      <c r="C152" s="23" t="s">
        <v>24</v>
      </c>
      <c r="D152" s="23">
        <v>2025</v>
      </c>
      <c r="E152" s="23">
        <v>6</v>
      </c>
      <c r="F152" s="23">
        <v>14</v>
      </c>
      <c r="G152" s="23">
        <v>2</v>
      </c>
      <c r="H152" s="23">
        <v>2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f t="shared" si="6"/>
        <v>6</v>
      </c>
      <c r="P152" s="23">
        <f t="shared" si="7"/>
        <v>16</v>
      </c>
      <c r="Q152" s="23">
        <f t="shared" si="8"/>
        <v>2</v>
      </c>
      <c r="R152" s="23">
        <v>0</v>
      </c>
      <c r="S152" s="23">
        <v>12</v>
      </c>
    </row>
    <row r="153" spans="1:19" x14ac:dyDescent="0.25">
      <c r="A153" s="23" t="s">
        <v>43</v>
      </c>
      <c r="B153" s="23">
        <v>29</v>
      </c>
      <c r="C153" s="23" t="s">
        <v>24</v>
      </c>
      <c r="D153" s="23">
        <v>2025</v>
      </c>
      <c r="E153" s="23">
        <v>6</v>
      </c>
      <c r="F153" s="23">
        <v>14</v>
      </c>
      <c r="G153" s="23">
        <v>2</v>
      </c>
      <c r="H153" s="23">
        <v>2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f t="shared" si="6"/>
        <v>6</v>
      </c>
      <c r="P153" s="23">
        <f t="shared" si="7"/>
        <v>16</v>
      </c>
      <c r="Q153" s="23">
        <f t="shared" si="8"/>
        <v>2</v>
      </c>
      <c r="R153" s="23">
        <v>0</v>
      </c>
      <c r="S153" s="23">
        <v>12</v>
      </c>
    </row>
    <row r="154" spans="1:19" x14ac:dyDescent="0.25">
      <c r="A154" s="23" t="s">
        <v>44</v>
      </c>
      <c r="B154" s="23">
        <v>30</v>
      </c>
      <c r="C154" s="23" t="s">
        <v>24</v>
      </c>
      <c r="D154" s="23">
        <v>2025</v>
      </c>
      <c r="E154" s="23">
        <v>6</v>
      </c>
      <c r="F154" s="23">
        <v>14</v>
      </c>
      <c r="G154" s="23">
        <v>2</v>
      </c>
      <c r="H154" s="23">
        <v>2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f t="shared" si="6"/>
        <v>6</v>
      </c>
      <c r="P154" s="23">
        <f t="shared" si="7"/>
        <v>16</v>
      </c>
      <c r="Q154" s="23">
        <f t="shared" si="8"/>
        <v>2</v>
      </c>
      <c r="R154" s="23">
        <v>0</v>
      </c>
      <c r="S154" s="23">
        <v>12</v>
      </c>
    </row>
    <row r="155" spans="1:19" x14ac:dyDescent="0.25">
      <c r="A155" s="23" t="s">
        <v>36</v>
      </c>
      <c r="B155" s="23">
        <v>31</v>
      </c>
      <c r="C155" s="23" t="s">
        <v>24</v>
      </c>
      <c r="D155" s="23">
        <v>2025</v>
      </c>
      <c r="E155" s="23">
        <v>0</v>
      </c>
      <c r="F155" s="23">
        <v>0</v>
      </c>
      <c r="G155" s="23">
        <v>0</v>
      </c>
      <c r="H155" s="23">
        <v>0</v>
      </c>
      <c r="I155" s="23">
        <v>7</v>
      </c>
      <c r="J155" s="23">
        <v>17</v>
      </c>
      <c r="K155" s="23">
        <v>0</v>
      </c>
      <c r="L155" s="23">
        <v>0</v>
      </c>
      <c r="M155" s="23">
        <v>0</v>
      </c>
      <c r="N155" s="23">
        <v>0</v>
      </c>
      <c r="O155" s="23">
        <f t="shared" si="6"/>
        <v>7</v>
      </c>
      <c r="P155" s="23">
        <f t="shared" si="7"/>
        <v>17</v>
      </c>
      <c r="Q155" s="23">
        <f t="shared" si="8"/>
        <v>0</v>
      </c>
      <c r="R155" s="23">
        <v>0</v>
      </c>
      <c r="S155" s="23">
        <v>12</v>
      </c>
    </row>
    <row r="156" spans="1:19" x14ac:dyDescent="0.25">
      <c r="A156" s="16" t="s">
        <v>45</v>
      </c>
      <c r="B156" s="16">
        <v>1</v>
      </c>
      <c r="C156" s="16" t="s">
        <v>25</v>
      </c>
      <c r="D156" s="16">
        <v>2025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19</v>
      </c>
      <c r="N156" s="16">
        <v>5</v>
      </c>
      <c r="O156" s="16">
        <f t="shared" si="6"/>
        <v>19</v>
      </c>
      <c r="P156" s="16">
        <f t="shared" si="7"/>
        <v>5</v>
      </c>
      <c r="Q156" s="16">
        <f t="shared" si="8"/>
        <v>0</v>
      </c>
      <c r="R156" s="16">
        <v>12</v>
      </c>
      <c r="S156" s="16">
        <v>0</v>
      </c>
    </row>
    <row r="157" spans="1:19" x14ac:dyDescent="0.25">
      <c r="A157" s="16" t="s">
        <v>46</v>
      </c>
      <c r="B157" s="16">
        <v>2</v>
      </c>
      <c r="C157" s="16" t="s">
        <v>25</v>
      </c>
      <c r="D157" s="16">
        <v>2025</v>
      </c>
      <c r="E157" s="16">
        <v>6</v>
      </c>
      <c r="F157" s="16">
        <v>14</v>
      </c>
      <c r="G157" s="16">
        <v>2</v>
      </c>
      <c r="H157" s="16">
        <v>2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f t="shared" si="6"/>
        <v>6</v>
      </c>
      <c r="P157" s="16">
        <f t="shared" si="7"/>
        <v>16</v>
      </c>
      <c r="Q157" s="16">
        <f t="shared" si="8"/>
        <v>2</v>
      </c>
      <c r="R157" s="16">
        <v>0</v>
      </c>
      <c r="S157" s="16">
        <v>12</v>
      </c>
    </row>
    <row r="158" spans="1:19" x14ac:dyDescent="0.25">
      <c r="A158" s="16" t="s">
        <v>47</v>
      </c>
      <c r="B158" s="16">
        <v>3</v>
      </c>
      <c r="C158" s="16" t="s">
        <v>25</v>
      </c>
      <c r="D158" s="16">
        <v>2025</v>
      </c>
      <c r="E158" s="16">
        <v>6</v>
      </c>
      <c r="F158" s="16">
        <v>14</v>
      </c>
      <c r="G158" s="16">
        <v>2</v>
      </c>
      <c r="H158" s="16">
        <v>2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f t="shared" si="6"/>
        <v>6</v>
      </c>
      <c r="P158" s="16">
        <f t="shared" si="7"/>
        <v>16</v>
      </c>
      <c r="Q158" s="16">
        <f t="shared" si="8"/>
        <v>2</v>
      </c>
      <c r="R158" s="16">
        <v>0</v>
      </c>
      <c r="S158" s="16">
        <v>12</v>
      </c>
    </row>
    <row r="159" spans="1:19" x14ac:dyDescent="0.25">
      <c r="A159" s="16" t="s">
        <v>42</v>
      </c>
      <c r="B159" s="16">
        <v>4</v>
      </c>
      <c r="C159" s="16" t="s">
        <v>25</v>
      </c>
      <c r="D159" s="16">
        <v>2025</v>
      </c>
      <c r="E159" s="16">
        <v>6</v>
      </c>
      <c r="F159" s="16">
        <v>14</v>
      </c>
      <c r="G159" s="16">
        <v>2</v>
      </c>
      <c r="H159" s="16">
        <v>2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f t="shared" si="6"/>
        <v>6</v>
      </c>
      <c r="P159" s="16">
        <f t="shared" si="7"/>
        <v>16</v>
      </c>
      <c r="Q159" s="16">
        <f t="shared" si="8"/>
        <v>2</v>
      </c>
      <c r="R159" s="16">
        <v>0</v>
      </c>
      <c r="S159" s="16">
        <v>12</v>
      </c>
    </row>
    <row r="160" spans="1:19" x14ac:dyDescent="0.25">
      <c r="A160" s="16" t="s">
        <v>43</v>
      </c>
      <c r="B160" s="16">
        <v>5</v>
      </c>
      <c r="C160" s="16" t="s">
        <v>25</v>
      </c>
      <c r="D160" s="16">
        <v>2025</v>
      </c>
      <c r="E160" s="16">
        <v>6</v>
      </c>
      <c r="F160" s="16">
        <v>14</v>
      </c>
      <c r="G160" s="16">
        <v>2</v>
      </c>
      <c r="H160" s="16">
        <v>2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f t="shared" si="6"/>
        <v>6</v>
      </c>
      <c r="P160" s="16">
        <f t="shared" si="7"/>
        <v>16</v>
      </c>
      <c r="Q160" s="16">
        <f t="shared" si="8"/>
        <v>2</v>
      </c>
      <c r="R160" s="16">
        <v>0</v>
      </c>
      <c r="S160" s="16">
        <v>12</v>
      </c>
    </row>
    <row r="161" spans="1:19" x14ac:dyDescent="0.25">
      <c r="A161" s="16" t="s">
        <v>44</v>
      </c>
      <c r="B161" s="16">
        <v>6</v>
      </c>
      <c r="C161" s="16" t="s">
        <v>25</v>
      </c>
      <c r="D161" s="16">
        <v>2025</v>
      </c>
      <c r="E161" s="16">
        <v>6</v>
      </c>
      <c r="F161" s="16">
        <v>14</v>
      </c>
      <c r="G161" s="16">
        <v>2</v>
      </c>
      <c r="H161" s="16">
        <v>2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f t="shared" si="6"/>
        <v>6</v>
      </c>
      <c r="P161" s="16">
        <f t="shared" si="7"/>
        <v>16</v>
      </c>
      <c r="Q161" s="16">
        <f t="shared" si="8"/>
        <v>2</v>
      </c>
      <c r="R161" s="16">
        <v>0</v>
      </c>
      <c r="S161" s="16">
        <v>12</v>
      </c>
    </row>
    <row r="162" spans="1:19" x14ac:dyDescent="0.25">
      <c r="A162" s="16" t="s">
        <v>36</v>
      </c>
      <c r="B162" s="16">
        <v>7</v>
      </c>
      <c r="C162" s="16" t="s">
        <v>25</v>
      </c>
      <c r="D162" s="16">
        <v>2025</v>
      </c>
      <c r="E162" s="16">
        <v>0</v>
      </c>
      <c r="F162" s="16">
        <v>0</v>
      </c>
      <c r="G162" s="16">
        <v>0</v>
      </c>
      <c r="H162" s="16">
        <v>0</v>
      </c>
      <c r="I162" s="16">
        <v>7</v>
      </c>
      <c r="J162" s="16">
        <v>17</v>
      </c>
      <c r="K162" s="16">
        <v>0</v>
      </c>
      <c r="L162" s="16">
        <v>0</v>
      </c>
      <c r="M162" s="16">
        <v>0</v>
      </c>
      <c r="N162" s="16">
        <v>0</v>
      </c>
      <c r="O162" s="16">
        <f t="shared" si="6"/>
        <v>7</v>
      </c>
      <c r="P162" s="16">
        <f t="shared" si="7"/>
        <v>17</v>
      </c>
      <c r="Q162" s="16">
        <f t="shared" si="8"/>
        <v>0</v>
      </c>
      <c r="R162" s="16">
        <v>0</v>
      </c>
      <c r="S162" s="16">
        <v>12</v>
      </c>
    </row>
    <row r="163" spans="1:19" x14ac:dyDescent="0.25">
      <c r="A163" s="16" t="s">
        <v>45</v>
      </c>
      <c r="B163" s="16">
        <v>8</v>
      </c>
      <c r="C163" s="16" t="s">
        <v>25</v>
      </c>
      <c r="D163" s="16">
        <v>2025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19</v>
      </c>
      <c r="N163" s="16">
        <v>5</v>
      </c>
      <c r="O163" s="16">
        <f t="shared" si="6"/>
        <v>19</v>
      </c>
      <c r="P163" s="16">
        <f t="shared" si="7"/>
        <v>5</v>
      </c>
      <c r="Q163" s="16">
        <f t="shared" si="8"/>
        <v>0</v>
      </c>
      <c r="R163" s="16">
        <v>12</v>
      </c>
      <c r="S163" s="16">
        <v>0</v>
      </c>
    </row>
    <row r="164" spans="1:19" x14ac:dyDescent="0.25">
      <c r="A164" s="16" t="s">
        <v>46</v>
      </c>
      <c r="B164" s="16">
        <v>9</v>
      </c>
      <c r="C164" s="16" t="s">
        <v>25</v>
      </c>
      <c r="D164" s="16">
        <v>2025</v>
      </c>
      <c r="E164" s="16">
        <v>6</v>
      </c>
      <c r="F164" s="16">
        <v>14</v>
      </c>
      <c r="G164" s="16">
        <v>2</v>
      </c>
      <c r="H164" s="16">
        <v>2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f t="shared" si="6"/>
        <v>6</v>
      </c>
      <c r="P164" s="16">
        <f t="shared" si="7"/>
        <v>16</v>
      </c>
      <c r="Q164" s="16">
        <f t="shared" si="8"/>
        <v>2</v>
      </c>
      <c r="R164" s="16">
        <v>0</v>
      </c>
      <c r="S164" s="16">
        <v>12</v>
      </c>
    </row>
    <row r="165" spans="1:19" x14ac:dyDescent="0.25">
      <c r="A165" s="16" t="s">
        <v>47</v>
      </c>
      <c r="B165" s="16">
        <v>10</v>
      </c>
      <c r="C165" s="16" t="s">
        <v>25</v>
      </c>
      <c r="D165" s="16">
        <v>2025</v>
      </c>
      <c r="E165" s="16">
        <v>6</v>
      </c>
      <c r="F165" s="16">
        <v>14</v>
      </c>
      <c r="G165" s="16">
        <v>2</v>
      </c>
      <c r="H165" s="16">
        <v>2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f t="shared" si="6"/>
        <v>6</v>
      </c>
      <c r="P165" s="16">
        <f t="shared" si="7"/>
        <v>16</v>
      </c>
      <c r="Q165" s="16">
        <f t="shared" si="8"/>
        <v>2</v>
      </c>
      <c r="R165" s="16">
        <v>0</v>
      </c>
      <c r="S165" s="16">
        <v>12</v>
      </c>
    </row>
    <row r="166" spans="1:19" x14ac:dyDescent="0.25">
      <c r="A166" s="16" t="s">
        <v>42</v>
      </c>
      <c r="B166" s="16">
        <v>11</v>
      </c>
      <c r="C166" s="16" t="s">
        <v>25</v>
      </c>
      <c r="D166" s="16">
        <v>2025</v>
      </c>
      <c r="E166" s="16">
        <v>6</v>
      </c>
      <c r="F166" s="16">
        <v>14</v>
      </c>
      <c r="G166" s="16">
        <v>2</v>
      </c>
      <c r="H166" s="16">
        <v>2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f t="shared" si="6"/>
        <v>6</v>
      </c>
      <c r="P166" s="16">
        <f t="shared" si="7"/>
        <v>16</v>
      </c>
      <c r="Q166" s="16">
        <f t="shared" si="8"/>
        <v>2</v>
      </c>
      <c r="R166" s="16">
        <v>0</v>
      </c>
      <c r="S166" s="16">
        <v>12</v>
      </c>
    </row>
    <row r="167" spans="1:19" x14ac:dyDescent="0.25">
      <c r="A167" s="16" t="s">
        <v>43</v>
      </c>
      <c r="B167" s="16">
        <v>12</v>
      </c>
      <c r="C167" s="16" t="s">
        <v>25</v>
      </c>
      <c r="D167" s="16">
        <v>2025</v>
      </c>
      <c r="E167" s="16">
        <v>6</v>
      </c>
      <c r="F167" s="16">
        <v>14</v>
      </c>
      <c r="G167" s="16">
        <v>2</v>
      </c>
      <c r="H167" s="16">
        <v>2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f t="shared" si="6"/>
        <v>6</v>
      </c>
      <c r="P167" s="16">
        <f t="shared" si="7"/>
        <v>16</v>
      </c>
      <c r="Q167" s="16">
        <f t="shared" si="8"/>
        <v>2</v>
      </c>
      <c r="R167" s="16">
        <v>0</v>
      </c>
      <c r="S167" s="16">
        <v>12</v>
      </c>
    </row>
    <row r="168" spans="1:19" x14ac:dyDescent="0.25">
      <c r="A168" s="16" t="s">
        <v>44</v>
      </c>
      <c r="B168" s="16">
        <v>13</v>
      </c>
      <c r="C168" s="16" t="s">
        <v>25</v>
      </c>
      <c r="D168" s="16">
        <v>2025</v>
      </c>
      <c r="E168" s="16">
        <v>6</v>
      </c>
      <c r="F168" s="16">
        <v>14</v>
      </c>
      <c r="G168" s="16">
        <v>2</v>
      </c>
      <c r="H168" s="16">
        <v>2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f t="shared" si="6"/>
        <v>6</v>
      </c>
      <c r="P168" s="16">
        <f t="shared" si="7"/>
        <v>16</v>
      </c>
      <c r="Q168" s="16">
        <f t="shared" si="8"/>
        <v>2</v>
      </c>
      <c r="R168" s="16">
        <v>0</v>
      </c>
      <c r="S168" s="16">
        <v>12</v>
      </c>
    </row>
    <row r="169" spans="1:19" x14ac:dyDescent="0.25">
      <c r="A169" s="16" t="s">
        <v>36</v>
      </c>
      <c r="B169" s="16">
        <v>14</v>
      </c>
      <c r="C169" s="16" t="s">
        <v>25</v>
      </c>
      <c r="D169" s="16">
        <v>2025</v>
      </c>
      <c r="E169" s="16">
        <v>0</v>
      </c>
      <c r="F169" s="16">
        <v>0</v>
      </c>
      <c r="G169" s="16">
        <v>0</v>
      </c>
      <c r="H169" s="16">
        <v>0</v>
      </c>
      <c r="I169" s="16">
        <v>7</v>
      </c>
      <c r="J169" s="16">
        <v>17</v>
      </c>
      <c r="K169" s="16">
        <v>0</v>
      </c>
      <c r="L169" s="16">
        <v>0</v>
      </c>
      <c r="M169" s="16">
        <v>0</v>
      </c>
      <c r="N169" s="16">
        <v>0</v>
      </c>
      <c r="O169" s="16">
        <f t="shared" si="6"/>
        <v>7</v>
      </c>
      <c r="P169" s="16">
        <f t="shared" si="7"/>
        <v>17</v>
      </c>
      <c r="Q169" s="16">
        <f t="shared" si="8"/>
        <v>0</v>
      </c>
      <c r="R169" s="16">
        <v>0</v>
      </c>
      <c r="S169" s="16">
        <v>12</v>
      </c>
    </row>
    <row r="170" spans="1:19" x14ac:dyDescent="0.25">
      <c r="A170" s="16" t="s">
        <v>45</v>
      </c>
      <c r="B170" s="16">
        <v>15</v>
      </c>
      <c r="C170" s="16" t="s">
        <v>25</v>
      </c>
      <c r="D170" s="16">
        <v>2025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19</v>
      </c>
      <c r="N170" s="16">
        <v>5</v>
      </c>
      <c r="O170" s="16">
        <f t="shared" si="6"/>
        <v>19</v>
      </c>
      <c r="P170" s="16">
        <f t="shared" si="7"/>
        <v>5</v>
      </c>
      <c r="Q170" s="16">
        <f t="shared" si="8"/>
        <v>0</v>
      </c>
      <c r="R170" s="16">
        <v>12</v>
      </c>
      <c r="S170" s="16">
        <v>0</v>
      </c>
    </row>
    <row r="171" spans="1:19" x14ac:dyDescent="0.25">
      <c r="A171" s="16" t="s">
        <v>46</v>
      </c>
      <c r="B171" s="16">
        <v>16</v>
      </c>
      <c r="C171" s="16" t="s">
        <v>25</v>
      </c>
      <c r="D171" s="16">
        <v>2025</v>
      </c>
      <c r="E171" s="16">
        <v>6</v>
      </c>
      <c r="F171" s="16">
        <v>14</v>
      </c>
      <c r="G171" s="16">
        <v>2</v>
      </c>
      <c r="H171" s="16">
        <v>2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f t="shared" si="6"/>
        <v>6</v>
      </c>
      <c r="P171" s="16">
        <f t="shared" si="7"/>
        <v>16</v>
      </c>
      <c r="Q171" s="16">
        <f t="shared" si="8"/>
        <v>2</v>
      </c>
      <c r="R171" s="16">
        <v>0</v>
      </c>
      <c r="S171" s="16">
        <v>12</v>
      </c>
    </row>
    <row r="172" spans="1:19" x14ac:dyDescent="0.25">
      <c r="A172" s="16" t="s">
        <v>47</v>
      </c>
      <c r="B172" s="16">
        <v>17</v>
      </c>
      <c r="C172" s="16" t="s">
        <v>25</v>
      </c>
      <c r="D172" s="16">
        <v>2025</v>
      </c>
      <c r="E172" s="16">
        <v>6</v>
      </c>
      <c r="F172" s="16">
        <v>14</v>
      </c>
      <c r="G172" s="16">
        <v>2</v>
      </c>
      <c r="H172" s="16">
        <v>2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f t="shared" si="6"/>
        <v>6</v>
      </c>
      <c r="P172" s="16">
        <f t="shared" si="7"/>
        <v>16</v>
      </c>
      <c r="Q172" s="16">
        <f t="shared" si="8"/>
        <v>2</v>
      </c>
      <c r="R172" s="16">
        <v>0</v>
      </c>
      <c r="S172" s="16">
        <v>12</v>
      </c>
    </row>
    <row r="173" spans="1:19" x14ac:dyDescent="0.25">
      <c r="A173" s="16" t="s">
        <v>42</v>
      </c>
      <c r="B173" s="16">
        <v>18</v>
      </c>
      <c r="C173" s="16" t="s">
        <v>25</v>
      </c>
      <c r="D173" s="16">
        <v>2025</v>
      </c>
      <c r="E173" s="16">
        <v>6</v>
      </c>
      <c r="F173" s="16">
        <v>14</v>
      </c>
      <c r="G173" s="16">
        <v>2</v>
      </c>
      <c r="H173" s="16">
        <v>2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f t="shared" si="6"/>
        <v>6</v>
      </c>
      <c r="P173" s="16">
        <f t="shared" si="7"/>
        <v>16</v>
      </c>
      <c r="Q173" s="16">
        <f t="shared" si="8"/>
        <v>2</v>
      </c>
      <c r="R173" s="16">
        <v>0</v>
      </c>
      <c r="S173" s="16">
        <v>12</v>
      </c>
    </row>
    <row r="174" spans="1:19" x14ac:dyDescent="0.25">
      <c r="A174" s="16" t="s">
        <v>43</v>
      </c>
      <c r="B174" s="16">
        <v>19</v>
      </c>
      <c r="C174" s="16" t="s">
        <v>25</v>
      </c>
      <c r="D174" s="16">
        <v>2025</v>
      </c>
      <c r="E174" s="16">
        <v>6</v>
      </c>
      <c r="F174" s="16">
        <v>14</v>
      </c>
      <c r="G174" s="16">
        <v>2</v>
      </c>
      <c r="H174" s="16">
        <v>2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f t="shared" si="6"/>
        <v>6</v>
      </c>
      <c r="P174" s="16">
        <f t="shared" si="7"/>
        <v>16</v>
      </c>
      <c r="Q174" s="16">
        <f t="shared" si="8"/>
        <v>2</v>
      </c>
      <c r="R174" s="16">
        <v>0</v>
      </c>
      <c r="S174" s="16">
        <v>12</v>
      </c>
    </row>
    <row r="175" spans="1:19" x14ac:dyDescent="0.25">
      <c r="A175" s="16" t="s">
        <v>44</v>
      </c>
      <c r="B175" s="16">
        <v>20</v>
      </c>
      <c r="C175" s="16" t="s">
        <v>25</v>
      </c>
      <c r="D175" s="16">
        <v>2025</v>
      </c>
      <c r="E175" s="16">
        <v>6</v>
      </c>
      <c r="F175" s="16">
        <v>14</v>
      </c>
      <c r="G175" s="16">
        <v>2</v>
      </c>
      <c r="H175" s="16">
        <v>2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f t="shared" si="6"/>
        <v>6</v>
      </c>
      <c r="P175" s="16">
        <f t="shared" si="7"/>
        <v>16</v>
      </c>
      <c r="Q175" s="16">
        <f t="shared" si="8"/>
        <v>2</v>
      </c>
      <c r="R175" s="16">
        <v>0</v>
      </c>
      <c r="S175" s="16">
        <v>12</v>
      </c>
    </row>
    <row r="176" spans="1:19" x14ac:dyDescent="0.25">
      <c r="A176" s="16" t="s">
        <v>36</v>
      </c>
      <c r="B176" s="16">
        <v>21</v>
      </c>
      <c r="C176" s="16" t="s">
        <v>25</v>
      </c>
      <c r="D176" s="16">
        <v>2025</v>
      </c>
      <c r="E176" s="16">
        <v>0</v>
      </c>
      <c r="F176" s="16">
        <v>0</v>
      </c>
      <c r="G176" s="16">
        <v>0</v>
      </c>
      <c r="H176" s="16">
        <v>0</v>
      </c>
      <c r="I176" s="16">
        <v>7</v>
      </c>
      <c r="J176" s="16">
        <v>17</v>
      </c>
      <c r="K176" s="16">
        <v>0</v>
      </c>
      <c r="L176" s="16">
        <v>0</v>
      </c>
      <c r="M176" s="16">
        <v>0</v>
      </c>
      <c r="N176" s="16">
        <v>0</v>
      </c>
      <c r="O176" s="16">
        <f t="shared" si="6"/>
        <v>7</v>
      </c>
      <c r="P176" s="16">
        <f t="shared" si="7"/>
        <v>17</v>
      </c>
      <c r="Q176" s="16">
        <f t="shared" si="8"/>
        <v>0</v>
      </c>
      <c r="R176" s="16">
        <v>0</v>
      </c>
      <c r="S176" s="16">
        <v>12</v>
      </c>
    </row>
    <row r="177" spans="1:19" x14ac:dyDescent="0.25">
      <c r="A177" s="16" t="s">
        <v>45</v>
      </c>
      <c r="B177" s="16">
        <v>22</v>
      </c>
      <c r="C177" s="16" t="s">
        <v>25</v>
      </c>
      <c r="D177" s="16">
        <v>2025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19</v>
      </c>
      <c r="N177" s="16">
        <v>5</v>
      </c>
      <c r="O177" s="16">
        <f t="shared" si="6"/>
        <v>19</v>
      </c>
      <c r="P177" s="16">
        <f t="shared" si="7"/>
        <v>5</v>
      </c>
      <c r="Q177" s="16">
        <f t="shared" si="8"/>
        <v>0</v>
      </c>
      <c r="R177" s="16">
        <v>12</v>
      </c>
      <c r="S177" s="16">
        <v>0</v>
      </c>
    </row>
    <row r="178" spans="1:19" x14ac:dyDescent="0.25">
      <c r="A178" s="16" t="s">
        <v>46</v>
      </c>
      <c r="B178" s="16">
        <v>23</v>
      </c>
      <c r="C178" s="16" t="s">
        <v>25</v>
      </c>
      <c r="D178" s="16">
        <v>2025</v>
      </c>
      <c r="E178" s="16">
        <v>6</v>
      </c>
      <c r="F178" s="16">
        <v>14</v>
      </c>
      <c r="G178" s="16">
        <v>2</v>
      </c>
      <c r="H178" s="16">
        <v>2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f t="shared" si="6"/>
        <v>6</v>
      </c>
      <c r="P178" s="16">
        <f t="shared" si="7"/>
        <v>16</v>
      </c>
      <c r="Q178" s="16">
        <f t="shared" si="8"/>
        <v>2</v>
      </c>
      <c r="R178" s="16">
        <v>0</v>
      </c>
      <c r="S178" s="16">
        <v>12</v>
      </c>
    </row>
    <row r="179" spans="1:19" x14ac:dyDescent="0.25">
      <c r="A179" s="16" t="s">
        <v>47</v>
      </c>
      <c r="B179" s="16">
        <v>24</v>
      </c>
      <c r="C179" s="16" t="s">
        <v>25</v>
      </c>
      <c r="D179" s="16">
        <v>2025</v>
      </c>
      <c r="E179" s="16">
        <v>6</v>
      </c>
      <c r="F179" s="16">
        <v>14</v>
      </c>
      <c r="G179" s="16">
        <v>2</v>
      </c>
      <c r="H179" s="16">
        <v>2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f t="shared" si="6"/>
        <v>6</v>
      </c>
      <c r="P179" s="16">
        <f t="shared" si="7"/>
        <v>16</v>
      </c>
      <c r="Q179" s="16">
        <f t="shared" si="8"/>
        <v>2</v>
      </c>
      <c r="R179" s="16">
        <v>0</v>
      </c>
      <c r="S179" s="16">
        <v>12</v>
      </c>
    </row>
    <row r="180" spans="1:19" x14ac:dyDescent="0.25">
      <c r="A180" s="16" t="s">
        <v>42</v>
      </c>
      <c r="B180" s="16">
        <v>25</v>
      </c>
      <c r="C180" s="16" t="s">
        <v>25</v>
      </c>
      <c r="D180" s="16">
        <v>2025</v>
      </c>
      <c r="E180" s="16">
        <v>6</v>
      </c>
      <c r="F180" s="16">
        <v>14</v>
      </c>
      <c r="G180" s="16">
        <v>2</v>
      </c>
      <c r="H180" s="16">
        <v>2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f t="shared" si="6"/>
        <v>6</v>
      </c>
      <c r="P180" s="16">
        <f t="shared" si="7"/>
        <v>16</v>
      </c>
      <c r="Q180" s="16">
        <f t="shared" si="8"/>
        <v>2</v>
      </c>
      <c r="R180" s="16">
        <v>0</v>
      </c>
      <c r="S180" s="16">
        <v>12</v>
      </c>
    </row>
    <row r="181" spans="1:19" x14ac:dyDescent="0.25">
      <c r="A181" s="16" t="s">
        <v>43</v>
      </c>
      <c r="B181" s="16">
        <v>26</v>
      </c>
      <c r="C181" s="16" t="s">
        <v>25</v>
      </c>
      <c r="D181" s="16">
        <v>2025</v>
      </c>
      <c r="E181" s="16">
        <v>6</v>
      </c>
      <c r="F181" s="16">
        <v>14</v>
      </c>
      <c r="G181" s="16">
        <v>2</v>
      </c>
      <c r="H181" s="16">
        <v>2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f t="shared" si="6"/>
        <v>6</v>
      </c>
      <c r="P181" s="16">
        <f t="shared" si="7"/>
        <v>16</v>
      </c>
      <c r="Q181" s="16">
        <f t="shared" si="8"/>
        <v>2</v>
      </c>
      <c r="R181" s="16">
        <v>0</v>
      </c>
      <c r="S181" s="16">
        <v>12</v>
      </c>
    </row>
    <row r="182" spans="1:19" x14ac:dyDescent="0.25">
      <c r="A182" s="16" t="s">
        <v>44</v>
      </c>
      <c r="B182" s="16">
        <v>27</v>
      </c>
      <c r="C182" s="16" t="s">
        <v>25</v>
      </c>
      <c r="D182" s="16">
        <v>2025</v>
      </c>
      <c r="E182" s="16">
        <v>6</v>
      </c>
      <c r="F182" s="16">
        <v>14</v>
      </c>
      <c r="G182" s="16">
        <v>2</v>
      </c>
      <c r="H182" s="16">
        <v>2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f t="shared" si="6"/>
        <v>6</v>
      </c>
      <c r="P182" s="16">
        <f t="shared" si="7"/>
        <v>16</v>
      </c>
      <c r="Q182" s="16">
        <f t="shared" si="8"/>
        <v>2</v>
      </c>
      <c r="R182" s="16">
        <v>0</v>
      </c>
      <c r="S182" s="16">
        <v>12</v>
      </c>
    </row>
    <row r="183" spans="1:19" x14ac:dyDescent="0.25">
      <c r="A183" s="16" t="s">
        <v>36</v>
      </c>
      <c r="B183" s="16">
        <v>28</v>
      </c>
      <c r="C183" s="16" t="s">
        <v>25</v>
      </c>
      <c r="D183" s="16">
        <v>2025</v>
      </c>
      <c r="E183" s="16">
        <v>0</v>
      </c>
      <c r="F183" s="16">
        <v>0</v>
      </c>
      <c r="G183" s="16">
        <v>0</v>
      </c>
      <c r="H183" s="16">
        <v>0</v>
      </c>
      <c r="I183" s="16">
        <v>7</v>
      </c>
      <c r="J183" s="16">
        <v>17</v>
      </c>
      <c r="K183" s="16">
        <v>0</v>
      </c>
      <c r="L183" s="16">
        <v>0</v>
      </c>
      <c r="M183" s="16">
        <v>0</v>
      </c>
      <c r="N183" s="16">
        <v>0</v>
      </c>
      <c r="O183" s="16">
        <f t="shared" si="6"/>
        <v>7</v>
      </c>
      <c r="P183" s="16">
        <f t="shared" si="7"/>
        <v>17</v>
      </c>
      <c r="Q183" s="16">
        <f t="shared" si="8"/>
        <v>0</v>
      </c>
      <c r="R183" s="16">
        <v>0</v>
      </c>
      <c r="S183" s="16">
        <v>12</v>
      </c>
    </row>
    <row r="184" spans="1:19" x14ac:dyDescent="0.25">
      <c r="A184" s="16" t="s">
        <v>45</v>
      </c>
      <c r="B184" s="16">
        <v>29</v>
      </c>
      <c r="C184" s="16" t="s">
        <v>25</v>
      </c>
      <c r="D184" s="16">
        <v>2025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19</v>
      </c>
      <c r="N184" s="16">
        <v>5</v>
      </c>
      <c r="O184" s="16">
        <f t="shared" si="6"/>
        <v>19</v>
      </c>
      <c r="P184" s="16">
        <f t="shared" si="7"/>
        <v>5</v>
      </c>
      <c r="Q184" s="16">
        <f t="shared" si="8"/>
        <v>0</v>
      </c>
      <c r="R184" s="16">
        <v>12</v>
      </c>
      <c r="S184" s="16">
        <v>0</v>
      </c>
    </row>
    <row r="185" spans="1:19" x14ac:dyDescent="0.25">
      <c r="A185" s="16" t="s">
        <v>46</v>
      </c>
      <c r="B185" s="16">
        <v>30</v>
      </c>
      <c r="C185" s="16" t="s">
        <v>25</v>
      </c>
      <c r="D185" s="16">
        <v>2025</v>
      </c>
      <c r="E185" s="16">
        <v>6</v>
      </c>
      <c r="F185" s="16">
        <v>14</v>
      </c>
      <c r="G185" s="16">
        <v>2</v>
      </c>
      <c r="H185" s="16">
        <v>2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f t="shared" si="6"/>
        <v>6</v>
      </c>
      <c r="P185" s="16">
        <f t="shared" si="7"/>
        <v>16</v>
      </c>
      <c r="Q185" s="16">
        <f t="shared" si="8"/>
        <v>2</v>
      </c>
      <c r="R185" s="16">
        <v>0</v>
      </c>
      <c r="S185" s="16">
        <v>12</v>
      </c>
    </row>
    <row r="186" spans="1:19" x14ac:dyDescent="0.25">
      <c r="A186" s="24" t="s">
        <v>47</v>
      </c>
      <c r="B186" s="24">
        <v>1</v>
      </c>
      <c r="C186" s="24" t="s">
        <v>26</v>
      </c>
      <c r="D186" s="24">
        <v>2025</v>
      </c>
      <c r="E186" s="24">
        <v>6</v>
      </c>
      <c r="F186" s="24">
        <v>14</v>
      </c>
      <c r="G186" s="24">
        <v>2</v>
      </c>
      <c r="H186" s="24">
        <v>2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f t="shared" si="6"/>
        <v>6</v>
      </c>
      <c r="P186" s="24">
        <f t="shared" si="7"/>
        <v>16</v>
      </c>
      <c r="Q186" s="24">
        <f t="shared" si="8"/>
        <v>2</v>
      </c>
      <c r="R186" s="24">
        <v>0</v>
      </c>
      <c r="S186" s="24">
        <v>12</v>
      </c>
    </row>
    <row r="187" spans="1:19" x14ac:dyDescent="0.25">
      <c r="A187" s="24" t="s">
        <v>42</v>
      </c>
      <c r="B187" s="24">
        <v>2</v>
      </c>
      <c r="C187" s="24" t="s">
        <v>26</v>
      </c>
      <c r="D187" s="24">
        <v>2025</v>
      </c>
      <c r="E187" s="24">
        <v>6</v>
      </c>
      <c r="F187" s="24">
        <v>14</v>
      </c>
      <c r="G187" s="24">
        <v>2</v>
      </c>
      <c r="H187" s="24">
        <v>2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f t="shared" si="6"/>
        <v>6</v>
      </c>
      <c r="P187" s="24">
        <f t="shared" si="7"/>
        <v>16</v>
      </c>
      <c r="Q187" s="24">
        <f t="shared" si="8"/>
        <v>2</v>
      </c>
      <c r="R187" s="24">
        <v>0</v>
      </c>
      <c r="S187" s="24">
        <v>12</v>
      </c>
    </row>
    <row r="188" spans="1:19" x14ac:dyDescent="0.25">
      <c r="A188" s="24" t="s">
        <v>43</v>
      </c>
      <c r="B188" s="24">
        <v>3</v>
      </c>
      <c r="C188" s="24" t="s">
        <v>26</v>
      </c>
      <c r="D188" s="24">
        <v>2025</v>
      </c>
      <c r="E188" s="24">
        <v>6</v>
      </c>
      <c r="F188" s="24">
        <v>14</v>
      </c>
      <c r="G188" s="24">
        <v>2</v>
      </c>
      <c r="H188" s="24">
        <v>2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24">
        <v>0</v>
      </c>
      <c r="O188" s="24">
        <f t="shared" si="6"/>
        <v>6</v>
      </c>
      <c r="P188" s="24">
        <f t="shared" si="7"/>
        <v>16</v>
      </c>
      <c r="Q188" s="24">
        <f t="shared" si="8"/>
        <v>2</v>
      </c>
      <c r="R188" s="24">
        <v>0</v>
      </c>
      <c r="S188" s="24">
        <v>12</v>
      </c>
    </row>
    <row r="189" spans="1:19" x14ac:dyDescent="0.25">
      <c r="A189" s="24" t="s">
        <v>44</v>
      </c>
      <c r="B189" s="24">
        <v>4</v>
      </c>
      <c r="C189" s="24" t="s">
        <v>26</v>
      </c>
      <c r="D189" s="24">
        <v>2025</v>
      </c>
      <c r="E189" s="24">
        <v>6</v>
      </c>
      <c r="F189" s="24">
        <v>14</v>
      </c>
      <c r="G189" s="24">
        <v>2</v>
      </c>
      <c r="H189" s="24">
        <v>2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f t="shared" si="6"/>
        <v>6</v>
      </c>
      <c r="P189" s="24">
        <f t="shared" si="7"/>
        <v>16</v>
      </c>
      <c r="Q189" s="24">
        <f t="shared" si="8"/>
        <v>2</v>
      </c>
      <c r="R189" s="24">
        <v>0</v>
      </c>
      <c r="S189" s="24">
        <v>12</v>
      </c>
    </row>
    <row r="190" spans="1:19" x14ac:dyDescent="0.25">
      <c r="A190" s="24" t="s">
        <v>36</v>
      </c>
      <c r="B190" s="24">
        <v>5</v>
      </c>
      <c r="C190" s="24" t="s">
        <v>26</v>
      </c>
      <c r="D190" s="24">
        <v>2025</v>
      </c>
      <c r="E190" s="24">
        <v>0</v>
      </c>
      <c r="F190" s="24">
        <v>0</v>
      </c>
      <c r="G190" s="24">
        <v>0</v>
      </c>
      <c r="H190" s="24">
        <v>0</v>
      </c>
      <c r="I190" s="24">
        <v>7</v>
      </c>
      <c r="J190" s="24">
        <v>17</v>
      </c>
      <c r="K190" s="24">
        <v>0</v>
      </c>
      <c r="L190" s="24">
        <v>0</v>
      </c>
      <c r="M190" s="24">
        <v>0</v>
      </c>
      <c r="N190" s="24">
        <v>0</v>
      </c>
      <c r="O190" s="24">
        <f t="shared" si="6"/>
        <v>7</v>
      </c>
      <c r="P190" s="24">
        <f t="shared" si="7"/>
        <v>17</v>
      </c>
      <c r="Q190" s="24">
        <f t="shared" si="8"/>
        <v>0</v>
      </c>
      <c r="R190" s="24">
        <v>0</v>
      </c>
      <c r="S190" s="24">
        <v>12</v>
      </c>
    </row>
    <row r="191" spans="1:19" x14ac:dyDescent="0.25">
      <c r="A191" s="24" t="s">
        <v>45</v>
      </c>
      <c r="B191" s="24">
        <v>6</v>
      </c>
      <c r="C191" s="24" t="s">
        <v>26</v>
      </c>
      <c r="D191" s="24">
        <v>2025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19</v>
      </c>
      <c r="N191" s="24">
        <v>5</v>
      </c>
      <c r="O191" s="24">
        <f t="shared" si="6"/>
        <v>19</v>
      </c>
      <c r="P191" s="24">
        <f t="shared" si="7"/>
        <v>5</v>
      </c>
      <c r="Q191" s="24">
        <f t="shared" si="8"/>
        <v>0</v>
      </c>
      <c r="R191" s="24">
        <v>12</v>
      </c>
      <c r="S191" s="24">
        <v>0</v>
      </c>
    </row>
    <row r="192" spans="1:19" x14ac:dyDescent="0.25">
      <c r="A192" s="24" t="s">
        <v>46</v>
      </c>
      <c r="B192" s="24">
        <v>7</v>
      </c>
      <c r="C192" s="24" t="s">
        <v>26</v>
      </c>
      <c r="D192" s="24">
        <v>2025</v>
      </c>
      <c r="E192" s="24">
        <v>6</v>
      </c>
      <c r="F192" s="24">
        <v>14</v>
      </c>
      <c r="G192" s="24">
        <v>2</v>
      </c>
      <c r="H192" s="24">
        <v>2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0</v>
      </c>
      <c r="O192" s="24">
        <f t="shared" si="6"/>
        <v>6</v>
      </c>
      <c r="P192" s="24">
        <f t="shared" si="7"/>
        <v>16</v>
      </c>
      <c r="Q192" s="24">
        <f t="shared" si="8"/>
        <v>2</v>
      </c>
      <c r="R192" s="24">
        <v>0</v>
      </c>
      <c r="S192" s="24">
        <v>12</v>
      </c>
    </row>
    <row r="193" spans="1:19" x14ac:dyDescent="0.25">
      <c r="A193" s="24" t="s">
        <v>47</v>
      </c>
      <c r="B193" s="24">
        <v>8</v>
      </c>
      <c r="C193" s="24" t="s">
        <v>26</v>
      </c>
      <c r="D193" s="24">
        <v>2025</v>
      </c>
      <c r="E193" s="24">
        <v>6</v>
      </c>
      <c r="F193" s="24">
        <v>14</v>
      </c>
      <c r="G193" s="24">
        <v>2</v>
      </c>
      <c r="H193" s="24">
        <v>2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f t="shared" si="6"/>
        <v>6</v>
      </c>
      <c r="P193" s="24">
        <f t="shared" si="7"/>
        <v>16</v>
      </c>
      <c r="Q193" s="24">
        <f t="shared" si="8"/>
        <v>2</v>
      </c>
      <c r="R193" s="24">
        <v>0</v>
      </c>
      <c r="S193" s="24">
        <v>12</v>
      </c>
    </row>
    <row r="194" spans="1:19" x14ac:dyDescent="0.25">
      <c r="A194" s="24" t="s">
        <v>42</v>
      </c>
      <c r="B194" s="24">
        <v>9</v>
      </c>
      <c r="C194" s="24" t="s">
        <v>26</v>
      </c>
      <c r="D194" s="24">
        <v>2025</v>
      </c>
      <c r="E194" s="24">
        <v>6</v>
      </c>
      <c r="F194" s="24">
        <v>14</v>
      </c>
      <c r="G194" s="24">
        <v>2</v>
      </c>
      <c r="H194" s="24">
        <v>2</v>
      </c>
      <c r="I194" s="24">
        <v>0</v>
      </c>
      <c r="J194" s="24">
        <v>0</v>
      </c>
      <c r="K194" s="24">
        <v>0</v>
      </c>
      <c r="L194" s="24">
        <v>0</v>
      </c>
      <c r="M194" s="24">
        <v>0</v>
      </c>
      <c r="N194" s="24">
        <v>0</v>
      </c>
      <c r="O194" s="24">
        <f t="shared" si="6"/>
        <v>6</v>
      </c>
      <c r="P194" s="24">
        <f t="shared" si="7"/>
        <v>16</v>
      </c>
      <c r="Q194" s="24">
        <f t="shared" si="8"/>
        <v>2</v>
      </c>
      <c r="R194" s="24">
        <v>0</v>
      </c>
      <c r="S194" s="24">
        <v>12</v>
      </c>
    </row>
    <row r="195" spans="1:19" x14ac:dyDescent="0.25">
      <c r="A195" s="24" t="s">
        <v>43</v>
      </c>
      <c r="B195" s="24">
        <v>10</v>
      </c>
      <c r="C195" s="24" t="s">
        <v>26</v>
      </c>
      <c r="D195" s="24">
        <v>2025</v>
      </c>
      <c r="E195" s="24">
        <v>6</v>
      </c>
      <c r="F195" s="24">
        <v>14</v>
      </c>
      <c r="G195" s="24">
        <v>2</v>
      </c>
      <c r="H195" s="24">
        <v>2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f t="shared" ref="O195:O258" si="9">SUM(E195,I195,M195)</f>
        <v>6</v>
      </c>
      <c r="P195" s="24">
        <f t="shared" ref="P195:P258" si="10">SUM(F195,H195,J195,L195,N195)</f>
        <v>16</v>
      </c>
      <c r="Q195" s="24">
        <f t="shared" ref="Q195:Q258" si="11">SUM(G195,K195)</f>
        <v>2</v>
      </c>
      <c r="R195" s="24">
        <v>0</v>
      </c>
      <c r="S195" s="24">
        <v>12</v>
      </c>
    </row>
    <row r="196" spans="1:19" x14ac:dyDescent="0.25">
      <c r="A196" s="24" t="s">
        <v>44</v>
      </c>
      <c r="B196" s="24">
        <v>11</v>
      </c>
      <c r="C196" s="24" t="s">
        <v>26</v>
      </c>
      <c r="D196" s="24">
        <v>2025</v>
      </c>
      <c r="E196" s="24">
        <v>6</v>
      </c>
      <c r="F196" s="24">
        <v>14</v>
      </c>
      <c r="G196" s="24">
        <v>2</v>
      </c>
      <c r="H196" s="24">
        <v>2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f t="shared" si="9"/>
        <v>6</v>
      </c>
      <c r="P196" s="24">
        <f t="shared" si="10"/>
        <v>16</v>
      </c>
      <c r="Q196" s="24">
        <f t="shared" si="11"/>
        <v>2</v>
      </c>
      <c r="R196" s="24">
        <v>0</v>
      </c>
      <c r="S196" s="24">
        <v>12</v>
      </c>
    </row>
    <row r="197" spans="1:19" x14ac:dyDescent="0.25">
      <c r="A197" s="24" t="s">
        <v>36</v>
      </c>
      <c r="B197" s="24">
        <v>12</v>
      </c>
      <c r="C197" s="24" t="s">
        <v>26</v>
      </c>
      <c r="D197" s="24">
        <v>2025</v>
      </c>
      <c r="E197" s="24">
        <v>0</v>
      </c>
      <c r="F197" s="24">
        <v>0</v>
      </c>
      <c r="G197" s="24">
        <v>0</v>
      </c>
      <c r="H197" s="24">
        <v>0</v>
      </c>
      <c r="I197" s="24">
        <v>7</v>
      </c>
      <c r="J197" s="24">
        <v>17</v>
      </c>
      <c r="K197" s="24">
        <v>0</v>
      </c>
      <c r="L197" s="24">
        <v>0</v>
      </c>
      <c r="M197" s="24">
        <v>0</v>
      </c>
      <c r="N197" s="24">
        <v>0</v>
      </c>
      <c r="O197" s="24">
        <f t="shared" si="9"/>
        <v>7</v>
      </c>
      <c r="P197" s="24">
        <f t="shared" si="10"/>
        <v>17</v>
      </c>
      <c r="Q197" s="24">
        <f t="shared" si="11"/>
        <v>0</v>
      </c>
      <c r="R197" s="24">
        <v>0</v>
      </c>
      <c r="S197" s="24">
        <v>12</v>
      </c>
    </row>
    <row r="198" spans="1:19" x14ac:dyDescent="0.25">
      <c r="A198" s="24" t="s">
        <v>45</v>
      </c>
      <c r="B198" s="24">
        <v>13</v>
      </c>
      <c r="C198" s="24" t="s">
        <v>26</v>
      </c>
      <c r="D198" s="24">
        <v>2025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0</v>
      </c>
      <c r="K198" s="24">
        <v>0</v>
      </c>
      <c r="L198" s="24">
        <v>0</v>
      </c>
      <c r="M198" s="24">
        <v>19</v>
      </c>
      <c r="N198" s="24">
        <v>5</v>
      </c>
      <c r="O198" s="24">
        <f t="shared" si="9"/>
        <v>19</v>
      </c>
      <c r="P198" s="24">
        <f t="shared" si="10"/>
        <v>5</v>
      </c>
      <c r="Q198" s="24">
        <f t="shared" si="11"/>
        <v>0</v>
      </c>
      <c r="R198" s="24">
        <v>12</v>
      </c>
      <c r="S198" s="24">
        <v>0</v>
      </c>
    </row>
    <row r="199" spans="1:19" x14ac:dyDescent="0.25">
      <c r="A199" s="24" t="s">
        <v>46</v>
      </c>
      <c r="B199" s="24">
        <v>14</v>
      </c>
      <c r="C199" s="24" t="s">
        <v>26</v>
      </c>
      <c r="D199" s="24">
        <v>2025</v>
      </c>
      <c r="E199" s="24">
        <v>6</v>
      </c>
      <c r="F199" s="24">
        <v>14</v>
      </c>
      <c r="G199" s="24">
        <v>2</v>
      </c>
      <c r="H199" s="24">
        <v>2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f t="shared" si="9"/>
        <v>6</v>
      </c>
      <c r="P199" s="24">
        <f t="shared" si="10"/>
        <v>16</v>
      </c>
      <c r="Q199" s="24">
        <f t="shared" si="11"/>
        <v>2</v>
      </c>
      <c r="R199" s="24">
        <v>0</v>
      </c>
      <c r="S199" s="24">
        <v>12</v>
      </c>
    </row>
    <row r="200" spans="1:19" x14ac:dyDescent="0.25">
      <c r="A200" s="24" t="s">
        <v>47</v>
      </c>
      <c r="B200" s="24">
        <v>15</v>
      </c>
      <c r="C200" s="24" t="s">
        <v>26</v>
      </c>
      <c r="D200" s="24">
        <v>2025</v>
      </c>
      <c r="E200" s="24">
        <v>6</v>
      </c>
      <c r="F200" s="24">
        <v>14</v>
      </c>
      <c r="G200" s="24">
        <v>2</v>
      </c>
      <c r="H200" s="24">
        <v>2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f t="shared" si="9"/>
        <v>6</v>
      </c>
      <c r="P200" s="24">
        <f t="shared" si="10"/>
        <v>16</v>
      </c>
      <c r="Q200" s="24">
        <f t="shared" si="11"/>
        <v>2</v>
      </c>
      <c r="R200" s="24">
        <v>0</v>
      </c>
      <c r="S200" s="24">
        <v>12</v>
      </c>
    </row>
    <row r="201" spans="1:19" x14ac:dyDescent="0.25">
      <c r="A201" s="24" t="s">
        <v>42</v>
      </c>
      <c r="B201" s="24">
        <v>16</v>
      </c>
      <c r="C201" s="24" t="s">
        <v>26</v>
      </c>
      <c r="D201" s="24">
        <v>2025</v>
      </c>
      <c r="E201" s="24">
        <v>6</v>
      </c>
      <c r="F201" s="24">
        <v>14</v>
      </c>
      <c r="G201" s="24">
        <v>2</v>
      </c>
      <c r="H201" s="24">
        <v>2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f t="shared" si="9"/>
        <v>6</v>
      </c>
      <c r="P201" s="24">
        <f t="shared" si="10"/>
        <v>16</v>
      </c>
      <c r="Q201" s="24">
        <f t="shared" si="11"/>
        <v>2</v>
      </c>
      <c r="R201" s="24">
        <v>0</v>
      </c>
      <c r="S201" s="24">
        <v>12</v>
      </c>
    </row>
    <row r="202" spans="1:19" x14ac:dyDescent="0.25">
      <c r="A202" s="24" t="s">
        <v>43</v>
      </c>
      <c r="B202" s="24">
        <v>17</v>
      </c>
      <c r="C202" s="24" t="s">
        <v>26</v>
      </c>
      <c r="D202" s="24">
        <v>2025</v>
      </c>
      <c r="E202" s="24">
        <v>6</v>
      </c>
      <c r="F202" s="24">
        <v>14</v>
      </c>
      <c r="G202" s="24">
        <v>2</v>
      </c>
      <c r="H202" s="24">
        <v>2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f t="shared" si="9"/>
        <v>6</v>
      </c>
      <c r="P202" s="24">
        <f t="shared" si="10"/>
        <v>16</v>
      </c>
      <c r="Q202" s="24">
        <f t="shared" si="11"/>
        <v>2</v>
      </c>
      <c r="R202" s="24">
        <v>0</v>
      </c>
      <c r="S202" s="24">
        <v>12</v>
      </c>
    </row>
    <row r="203" spans="1:19" x14ac:dyDescent="0.25">
      <c r="A203" s="24" t="s">
        <v>44</v>
      </c>
      <c r="B203" s="24">
        <v>18</v>
      </c>
      <c r="C203" s="24" t="s">
        <v>26</v>
      </c>
      <c r="D203" s="24">
        <v>2025</v>
      </c>
      <c r="E203" s="24">
        <v>6</v>
      </c>
      <c r="F203" s="24">
        <v>14</v>
      </c>
      <c r="G203" s="24">
        <v>2</v>
      </c>
      <c r="H203" s="24">
        <v>2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4">
        <f t="shared" si="9"/>
        <v>6</v>
      </c>
      <c r="P203" s="24">
        <f t="shared" si="10"/>
        <v>16</v>
      </c>
      <c r="Q203" s="24">
        <f t="shared" si="11"/>
        <v>2</v>
      </c>
      <c r="R203" s="24">
        <v>0</v>
      </c>
      <c r="S203" s="24">
        <v>12</v>
      </c>
    </row>
    <row r="204" spans="1:19" x14ac:dyDescent="0.25">
      <c r="A204" s="24" t="s">
        <v>36</v>
      </c>
      <c r="B204" s="24">
        <v>19</v>
      </c>
      <c r="C204" s="24" t="s">
        <v>26</v>
      </c>
      <c r="D204" s="24">
        <v>2025</v>
      </c>
      <c r="E204" s="24">
        <v>0</v>
      </c>
      <c r="F204" s="24">
        <v>0</v>
      </c>
      <c r="G204" s="24">
        <v>0</v>
      </c>
      <c r="H204" s="24">
        <v>0</v>
      </c>
      <c r="I204" s="24">
        <v>7</v>
      </c>
      <c r="J204" s="24">
        <v>17</v>
      </c>
      <c r="K204" s="24">
        <v>0</v>
      </c>
      <c r="L204" s="24">
        <v>0</v>
      </c>
      <c r="M204" s="24">
        <v>0</v>
      </c>
      <c r="N204" s="24">
        <v>0</v>
      </c>
      <c r="O204" s="24">
        <f t="shared" si="9"/>
        <v>7</v>
      </c>
      <c r="P204" s="24">
        <f t="shared" si="10"/>
        <v>17</v>
      </c>
      <c r="Q204" s="24">
        <f t="shared" si="11"/>
        <v>0</v>
      </c>
      <c r="R204" s="24">
        <v>0</v>
      </c>
      <c r="S204" s="24">
        <v>12</v>
      </c>
    </row>
    <row r="205" spans="1:19" x14ac:dyDescent="0.25">
      <c r="A205" s="24" t="s">
        <v>45</v>
      </c>
      <c r="B205" s="24">
        <v>20</v>
      </c>
      <c r="C205" s="24" t="s">
        <v>26</v>
      </c>
      <c r="D205" s="24">
        <v>2025</v>
      </c>
      <c r="E205" s="24">
        <v>0</v>
      </c>
      <c r="F205" s="24">
        <v>0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19</v>
      </c>
      <c r="N205" s="24">
        <v>5</v>
      </c>
      <c r="O205" s="24">
        <f t="shared" si="9"/>
        <v>19</v>
      </c>
      <c r="P205" s="24">
        <f t="shared" si="10"/>
        <v>5</v>
      </c>
      <c r="Q205" s="24">
        <f t="shared" si="11"/>
        <v>0</v>
      </c>
      <c r="R205" s="24">
        <v>12</v>
      </c>
      <c r="S205" s="24">
        <v>0</v>
      </c>
    </row>
    <row r="206" spans="1:19" x14ac:dyDescent="0.25">
      <c r="A206" s="24" t="s">
        <v>46</v>
      </c>
      <c r="B206" s="24">
        <v>21</v>
      </c>
      <c r="C206" s="24" t="s">
        <v>26</v>
      </c>
      <c r="D206" s="24">
        <v>2025</v>
      </c>
      <c r="E206" s="24">
        <v>6</v>
      </c>
      <c r="F206" s="24">
        <v>14</v>
      </c>
      <c r="G206" s="24">
        <v>2</v>
      </c>
      <c r="H206" s="24">
        <v>2</v>
      </c>
      <c r="I206" s="24">
        <v>0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f t="shared" si="9"/>
        <v>6</v>
      </c>
      <c r="P206" s="24">
        <f t="shared" si="10"/>
        <v>16</v>
      </c>
      <c r="Q206" s="24">
        <f t="shared" si="11"/>
        <v>2</v>
      </c>
      <c r="R206" s="24">
        <v>0</v>
      </c>
      <c r="S206" s="24">
        <v>12</v>
      </c>
    </row>
    <row r="207" spans="1:19" x14ac:dyDescent="0.25">
      <c r="A207" s="24" t="s">
        <v>47</v>
      </c>
      <c r="B207" s="24">
        <v>22</v>
      </c>
      <c r="C207" s="24" t="s">
        <v>26</v>
      </c>
      <c r="D207" s="24">
        <v>2025</v>
      </c>
      <c r="E207" s="24">
        <v>6</v>
      </c>
      <c r="F207" s="24">
        <v>14</v>
      </c>
      <c r="G207" s="24">
        <v>2</v>
      </c>
      <c r="H207" s="24">
        <v>2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24">
        <v>0</v>
      </c>
      <c r="O207" s="24">
        <f t="shared" si="9"/>
        <v>6</v>
      </c>
      <c r="P207" s="24">
        <f t="shared" si="10"/>
        <v>16</v>
      </c>
      <c r="Q207" s="24">
        <f t="shared" si="11"/>
        <v>2</v>
      </c>
      <c r="R207" s="24">
        <v>0</v>
      </c>
      <c r="S207" s="24">
        <v>12</v>
      </c>
    </row>
    <row r="208" spans="1:19" x14ac:dyDescent="0.25">
      <c r="A208" s="24" t="s">
        <v>42</v>
      </c>
      <c r="B208" s="24">
        <v>23</v>
      </c>
      <c r="C208" s="24" t="s">
        <v>26</v>
      </c>
      <c r="D208" s="24">
        <v>2025</v>
      </c>
      <c r="E208" s="24">
        <v>6</v>
      </c>
      <c r="F208" s="24">
        <v>14</v>
      </c>
      <c r="G208" s="24">
        <v>2</v>
      </c>
      <c r="H208" s="24">
        <v>2</v>
      </c>
      <c r="I208" s="24">
        <v>0</v>
      </c>
      <c r="J208" s="24">
        <v>0</v>
      </c>
      <c r="K208" s="24">
        <v>0</v>
      </c>
      <c r="L208" s="24">
        <v>0</v>
      </c>
      <c r="M208" s="24">
        <v>0</v>
      </c>
      <c r="N208" s="24">
        <v>0</v>
      </c>
      <c r="O208" s="24">
        <f t="shared" si="9"/>
        <v>6</v>
      </c>
      <c r="P208" s="24">
        <f t="shared" si="10"/>
        <v>16</v>
      </c>
      <c r="Q208" s="24">
        <f t="shared" si="11"/>
        <v>2</v>
      </c>
      <c r="R208" s="24">
        <v>0</v>
      </c>
      <c r="S208" s="24">
        <v>12</v>
      </c>
    </row>
    <row r="209" spans="1:19" x14ac:dyDescent="0.25">
      <c r="A209" s="24" t="s">
        <v>43</v>
      </c>
      <c r="B209" s="24">
        <v>24</v>
      </c>
      <c r="C209" s="24" t="s">
        <v>26</v>
      </c>
      <c r="D209" s="24">
        <v>2025</v>
      </c>
      <c r="E209" s="24">
        <v>6</v>
      </c>
      <c r="F209" s="24">
        <v>14</v>
      </c>
      <c r="G209" s="24">
        <v>2</v>
      </c>
      <c r="H209" s="24">
        <v>2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f t="shared" si="9"/>
        <v>6</v>
      </c>
      <c r="P209" s="24">
        <f t="shared" si="10"/>
        <v>16</v>
      </c>
      <c r="Q209" s="24">
        <f t="shared" si="11"/>
        <v>2</v>
      </c>
      <c r="R209" s="24">
        <v>0</v>
      </c>
      <c r="S209" s="24">
        <v>12</v>
      </c>
    </row>
    <row r="210" spans="1:19" x14ac:dyDescent="0.25">
      <c r="A210" s="24" t="s">
        <v>44</v>
      </c>
      <c r="B210" s="24">
        <v>25</v>
      </c>
      <c r="C210" s="24" t="s">
        <v>26</v>
      </c>
      <c r="D210" s="24">
        <v>2025</v>
      </c>
      <c r="E210" s="24">
        <v>6</v>
      </c>
      <c r="F210" s="24">
        <v>14</v>
      </c>
      <c r="G210" s="24">
        <v>2</v>
      </c>
      <c r="H210" s="24">
        <v>2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f t="shared" si="9"/>
        <v>6</v>
      </c>
      <c r="P210" s="24">
        <f t="shared" si="10"/>
        <v>16</v>
      </c>
      <c r="Q210" s="24">
        <f t="shared" si="11"/>
        <v>2</v>
      </c>
      <c r="R210" s="24">
        <v>0</v>
      </c>
      <c r="S210" s="24">
        <v>12</v>
      </c>
    </row>
    <row r="211" spans="1:19" x14ac:dyDescent="0.25">
      <c r="A211" s="24" t="s">
        <v>36</v>
      </c>
      <c r="B211" s="24">
        <v>26</v>
      </c>
      <c r="C211" s="24" t="s">
        <v>26</v>
      </c>
      <c r="D211" s="24">
        <v>2025</v>
      </c>
      <c r="E211" s="24">
        <v>0</v>
      </c>
      <c r="F211" s="24">
        <v>0</v>
      </c>
      <c r="G211" s="24">
        <v>0</v>
      </c>
      <c r="H211" s="24">
        <v>0</v>
      </c>
      <c r="I211" s="24">
        <v>7</v>
      </c>
      <c r="J211" s="24">
        <v>17</v>
      </c>
      <c r="K211" s="24">
        <v>0</v>
      </c>
      <c r="L211" s="24">
        <v>0</v>
      </c>
      <c r="M211" s="24">
        <v>0</v>
      </c>
      <c r="N211" s="24">
        <v>0</v>
      </c>
      <c r="O211" s="24">
        <f t="shared" si="9"/>
        <v>7</v>
      </c>
      <c r="P211" s="24">
        <f t="shared" si="10"/>
        <v>17</v>
      </c>
      <c r="Q211" s="24">
        <f t="shared" si="11"/>
        <v>0</v>
      </c>
      <c r="R211" s="24">
        <v>0</v>
      </c>
      <c r="S211" s="24">
        <v>12</v>
      </c>
    </row>
    <row r="212" spans="1:19" x14ac:dyDescent="0.25">
      <c r="A212" s="24" t="s">
        <v>45</v>
      </c>
      <c r="B212" s="24">
        <v>27</v>
      </c>
      <c r="C212" s="24" t="s">
        <v>26</v>
      </c>
      <c r="D212" s="24">
        <v>2025</v>
      </c>
      <c r="E212" s="24">
        <v>0</v>
      </c>
      <c r="F212" s="24">
        <v>0</v>
      </c>
      <c r="G212" s="24">
        <v>0</v>
      </c>
      <c r="H212" s="24">
        <v>0</v>
      </c>
      <c r="I212" s="24">
        <v>0</v>
      </c>
      <c r="J212" s="24">
        <v>0</v>
      </c>
      <c r="K212" s="24">
        <v>0</v>
      </c>
      <c r="L212" s="24">
        <v>0</v>
      </c>
      <c r="M212" s="24">
        <v>19</v>
      </c>
      <c r="N212" s="24">
        <v>5</v>
      </c>
      <c r="O212" s="24">
        <f t="shared" si="9"/>
        <v>19</v>
      </c>
      <c r="P212" s="24">
        <f t="shared" si="10"/>
        <v>5</v>
      </c>
      <c r="Q212" s="24">
        <f t="shared" si="11"/>
        <v>0</v>
      </c>
      <c r="R212" s="24">
        <v>12</v>
      </c>
      <c r="S212" s="24">
        <v>0</v>
      </c>
    </row>
    <row r="213" spans="1:19" x14ac:dyDescent="0.25">
      <c r="A213" s="24" t="s">
        <v>46</v>
      </c>
      <c r="B213" s="24">
        <v>28</v>
      </c>
      <c r="C213" s="24" t="s">
        <v>26</v>
      </c>
      <c r="D213" s="24">
        <v>2025</v>
      </c>
      <c r="E213" s="24">
        <v>6</v>
      </c>
      <c r="F213" s="24">
        <v>14</v>
      </c>
      <c r="G213" s="24">
        <v>2</v>
      </c>
      <c r="H213" s="24">
        <v>2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f t="shared" si="9"/>
        <v>6</v>
      </c>
      <c r="P213" s="24">
        <f t="shared" si="10"/>
        <v>16</v>
      </c>
      <c r="Q213" s="24">
        <f t="shared" si="11"/>
        <v>2</v>
      </c>
      <c r="R213" s="24">
        <v>0</v>
      </c>
      <c r="S213" s="24">
        <v>12</v>
      </c>
    </row>
    <row r="214" spans="1:19" x14ac:dyDescent="0.25">
      <c r="A214" s="24" t="s">
        <v>47</v>
      </c>
      <c r="B214" s="24">
        <v>29</v>
      </c>
      <c r="C214" s="24" t="s">
        <v>26</v>
      </c>
      <c r="D214" s="24">
        <v>2025</v>
      </c>
      <c r="E214" s="24">
        <v>6</v>
      </c>
      <c r="F214" s="24">
        <v>14</v>
      </c>
      <c r="G214" s="24">
        <v>2</v>
      </c>
      <c r="H214" s="24">
        <v>2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f t="shared" si="9"/>
        <v>6</v>
      </c>
      <c r="P214" s="24">
        <f t="shared" si="10"/>
        <v>16</v>
      </c>
      <c r="Q214" s="24">
        <f t="shared" si="11"/>
        <v>2</v>
      </c>
      <c r="R214" s="24">
        <v>0</v>
      </c>
      <c r="S214" s="24">
        <v>12</v>
      </c>
    </row>
    <row r="215" spans="1:19" x14ac:dyDescent="0.25">
      <c r="A215" s="24" t="s">
        <v>42</v>
      </c>
      <c r="B215" s="24">
        <v>30</v>
      </c>
      <c r="C215" s="24" t="s">
        <v>26</v>
      </c>
      <c r="D215" s="24">
        <v>2025</v>
      </c>
      <c r="E215" s="24">
        <v>6</v>
      </c>
      <c r="F215" s="24">
        <v>14</v>
      </c>
      <c r="G215" s="24">
        <v>2</v>
      </c>
      <c r="H215" s="24">
        <v>2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f t="shared" si="9"/>
        <v>6</v>
      </c>
      <c r="P215" s="24">
        <f t="shared" si="10"/>
        <v>16</v>
      </c>
      <c r="Q215" s="24">
        <f t="shared" si="11"/>
        <v>2</v>
      </c>
      <c r="R215" s="24">
        <v>0</v>
      </c>
      <c r="S215" s="24">
        <v>12</v>
      </c>
    </row>
    <row r="216" spans="1:19" x14ac:dyDescent="0.25">
      <c r="A216" s="24" t="s">
        <v>43</v>
      </c>
      <c r="B216" s="24">
        <v>31</v>
      </c>
      <c r="C216" s="24" t="s">
        <v>26</v>
      </c>
      <c r="D216" s="24">
        <v>2025</v>
      </c>
      <c r="E216" s="24">
        <v>6</v>
      </c>
      <c r="F216" s="24">
        <v>14</v>
      </c>
      <c r="G216" s="24">
        <v>2</v>
      </c>
      <c r="H216" s="24">
        <v>2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4">
        <f t="shared" si="9"/>
        <v>6</v>
      </c>
      <c r="P216" s="24">
        <f t="shared" si="10"/>
        <v>16</v>
      </c>
      <c r="Q216" s="24">
        <f t="shared" si="11"/>
        <v>2</v>
      </c>
      <c r="R216" s="24">
        <v>0</v>
      </c>
      <c r="S216" s="24">
        <v>12</v>
      </c>
    </row>
    <row r="217" spans="1:19" x14ac:dyDescent="0.25">
      <c r="A217" s="17" t="s">
        <v>44</v>
      </c>
      <c r="B217" s="17">
        <v>1</v>
      </c>
      <c r="C217" s="17" t="s">
        <v>27</v>
      </c>
      <c r="D217" s="17">
        <v>2025</v>
      </c>
      <c r="E217" s="17">
        <v>6</v>
      </c>
      <c r="F217" s="17">
        <v>14</v>
      </c>
      <c r="G217" s="17">
        <v>2</v>
      </c>
      <c r="H217" s="17">
        <v>2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f t="shared" si="9"/>
        <v>6</v>
      </c>
      <c r="P217" s="17">
        <f t="shared" si="10"/>
        <v>16</v>
      </c>
      <c r="Q217" s="17">
        <f t="shared" si="11"/>
        <v>2</v>
      </c>
      <c r="R217" s="17">
        <v>0</v>
      </c>
      <c r="S217" s="17">
        <v>12</v>
      </c>
    </row>
    <row r="218" spans="1:19" x14ac:dyDescent="0.25">
      <c r="A218" s="17" t="s">
        <v>36</v>
      </c>
      <c r="B218" s="17">
        <v>2</v>
      </c>
      <c r="C218" s="17" t="s">
        <v>27</v>
      </c>
      <c r="D218" s="17">
        <v>2025</v>
      </c>
      <c r="E218" s="17">
        <v>0</v>
      </c>
      <c r="F218" s="17">
        <v>0</v>
      </c>
      <c r="G218" s="17">
        <v>0</v>
      </c>
      <c r="H218" s="17">
        <v>0</v>
      </c>
      <c r="I218" s="17">
        <v>7</v>
      </c>
      <c r="J218" s="17">
        <v>17</v>
      </c>
      <c r="K218" s="17">
        <v>0</v>
      </c>
      <c r="L218" s="17">
        <v>0</v>
      </c>
      <c r="M218" s="17">
        <v>0</v>
      </c>
      <c r="N218" s="17">
        <v>0</v>
      </c>
      <c r="O218" s="17">
        <f t="shared" si="9"/>
        <v>7</v>
      </c>
      <c r="P218" s="17">
        <f t="shared" si="10"/>
        <v>17</v>
      </c>
      <c r="Q218" s="17">
        <f t="shared" si="11"/>
        <v>0</v>
      </c>
      <c r="R218" s="17">
        <v>0</v>
      </c>
      <c r="S218" s="17">
        <v>12</v>
      </c>
    </row>
    <row r="219" spans="1:19" x14ac:dyDescent="0.25">
      <c r="A219" s="17" t="s">
        <v>45</v>
      </c>
      <c r="B219" s="17">
        <v>3</v>
      </c>
      <c r="C219" s="17" t="s">
        <v>27</v>
      </c>
      <c r="D219" s="17">
        <v>2025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19</v>
      </c>
      <c r="N219" s="17">
        <v>5</v>
      </c>
      <c r="O219" s="17">
        <f t="shared" si="9"/>
        <v>19</v>
      </c>
      <c r="P219" s="17">
        <f t="shared" si="10"/>
        <v>5</v>
      </c>
      <c r="Q219" s="17">
        <f t="shared" si="11"/>
        <v>0</v>
      </c>
      <c r="R219" s="17">
        <v>12</v>
      </c>
      <c r="S219" s="17">
        <v>0</v>
      </c>
    </row>
    <row r="220" spans="1:19" x14ac:dyDescent="0.25">
      <c r="A220" s="17" t="s">
        <v>46</v>
      </c>
      <c r="B220" s="17">
        <v>4</v>
      </c>
      <c r="C220" s="17" t="s">
        <v>27</v>
      </c>
      <c r="D220" s="17">
        <v>2025</v>
      </c>
      <c r="E220" s="17">
        <v>6</v>
      </c>
      <c r="F220" s="17">
        <v>14</v>
      </c>
      <c r="G220" s="17">
        <v>2</v>
      </c>
      <c r="H220" s="17">
        <v>2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f t="shared" si="9"/>
        <v>6</v>
      </c>
      <c r="P220" s="17">
        <f t="shared" si="10"/>
        <v>16</v>
      </c>
      <c r="Q220" s="17">
        <f t="shared" si="11"/>
        <v>2</v>
      </c>
      <c r="R220" s="17">
        <v>0</v>
      </c>
      <c r="S220" s="17">
        <v>12</v>
      </c>
    </row>
    <row r="221" spans="1:19" x14ac:dyDescent="0.25">
      <c r="A221" s="17" t="s">
        <v>47</v>
      </c>
      <c r="B221" s="17">
        <v>5</v>
      </c>
      <c r="C221" s="17" t="s">
        <v>27</v>
      </c>
      <c r="D221" s="17">
        <v>2025</v>
      </c>
      <c r="E221" s="17">
        <v>6</v>
      </c>
      <c r="F221" s="17">
        <v>14</v>
      </c>
      <c r="G221" s="17">
        <v>2</v>
      </c>
      <c r="H221" s="17">
        <v>2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f t="shared" si="9"/>
        <v>6</v>
      </c>
      <c r="P221" s="17">
        <f t="shared" si="10"/>
        <v>16</v>
      </c>
      <c r="Q221" s="17">
        <f t="shared" si="11"/>
        <v>2</v>
      </c>
      <c r="R221" s="17">
        <v>0</v>
      </c>
      <c r="S221" s="17">
        <v>12</v>
      </c>
    </row>
    <row r="222" spans="1:19" x14ac:dyDescent="0.25">
      <c r="A222" s="17" t="s">
        <v>42</v>
      </c>
      <c r="B222" s="17">
        <v>6</v>
      </c>
      <c r="C222" s="17" t="s">
        <v>27</v>
      </c>
      <c r="D222" s="17">
        <v>2025</v>
      </c>
      <c r="E222" s="17">
        <v>6</v>
      </c>
      <c r="F222" s="17">
        <v>14</v>
      </c>
      <c r="G222" s="17">
        <v>2</v>
      </c>
      <c r="H222" s="17">
        <v>2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f t="shared" si="9"/>
        <v>6</v>
      </c>
      <c r="P222" s="17">
        <f t="shared" si="10"/>
        <v>16</v>
      </c>
      <c r="Q222" s="17">
        <f t="shared" si="11"/>
        <v>2</v>
      </c>
      <c r="R222" s="17">
        <v>0</v>
      </c>
      <c r="S222" s="17">
        <v>12</v>
      </c>
    </row>
    <row r="223" spans="1:19" x14ac:dyDescent="0.25">
      <c r="A223" s="17" t="s">
        <v>43</v>
      </c>
      <c r="B223" s="17">
        <v>7</v>
      </c>
      <c r="C223" s="17" t="s">
        <v>27</v>
      </c>
      <c r="D223" s="17">
        <v>2025</v>
      </c>
      <c r="E223" s="17">
        <v>6</v>
      </c>
      <c r="F223" s="17">
        <v>14</v>
      </c>
      <c r="G223" s="17">
        <v>2</v>
      </c>
      <c r="H223" s="17">
        <v>2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f t="shared" si="9"/>
        <v>6</v>
      </c>
      <c r="P223" s="17">
        <f t="shared" si="10"/>
        <v>16</v>
      </c>
      <c r="Q223" s="17">
        <f t="shared" si="11"/>
        <v>2</v>
      </c>
      <c r="R223" s="17">
        <v>0</v>
      </c>
      <c r="S223" s="17">
        <v>12</v>
      </c>
    </row>
    <row r="224" spans="1:19" x14ac:dyDescent="0.25">
      <c r="A224" s="17" t="s">
        <v>44</v>
      </c>
      <c r="B224" s="17">
        <v>8</v>
      </c>
      <c r="C224" s="17" t="s">
        <v>27</v>
      </c>
      <c r="D224" s="17">
        <v>2025</v>
      </c>
      <c r="E224" s="17">
        <v>6</v>
      </c>
      <c r="F224" s="17">
        <v>14</v>
      </c>
      <c r="G224" s="17">
        <v>2</v>
      </c>
      <c r="H224" s="17">
        <v>2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f t="shared" si="9"/>
        <v>6</v>
      </c>
      <c r="P224" s="17">
        <f t="shared" si="10"/>
        <v>16</v>
      </c>
      <c r="Q224" s="17">
        <f t="shared" si="11"/>
        <v>2</v>
      </c>
      <c r="R224" s="17">
        <v>0</v>
      </c>
      <c r="S224" s="17">
        <v>12</v>
      </c>
    </row>
    <row r="225" spans="1:19" x14ac:dyDescent="0.25">
      <c r="A225" s="17" t="s">
        <v>36</v>
      </c>
      <c r="B225" s="17">
        <v>9</v>
      </c>
      <c r="C225" s="17" t="s">
        <v>27</v>
      </c>
      <c r="D225" s="17">
        <v>2025</v>
      </c>
      <c r="E225" s="17">
        <v>0</v>
      </c>
      <c r="F225" s="17">
        <v>0</v>
      </c>
      <c r="G225" s="17">
        <v>0</v>
      </c>
      <c r="H225" s="17">
        <v>0</v>
      </c>
      <c r="I225" s="17">
        <v>7</v>
      </c>
      <c r="J225" s="17">
        <v>17</v>
      </c>
      <c r="K225" s="17">
        <v>0</v>
      </c>
      <c r="L225" s="17">
        <v>0</v>
      </c>
      <c r="M225" s="17">
        <v>0</v>
      </c>
      <c r="N225" s="17">
        <v>0</v>
      </c>
      <c r="O225" s="17">
        <f t="shared" si="9"/>
        <v>7</v>
      </c>
      <c r="P225" s="17">
        <f t="shared" si="10"/>
        <v>17</v>
      </c>
      <c r="Q225" s="17">
        <f t="shared" si="11"/>
        <v>0</v>
      </c>
      <c r="R225" s="17">
        <v>0</v>
      </c>
      <c r="S225" s="17">
        <v>12</v>
      </c>
    </row>
    <row r="226" spans="1:19" x14ac:dyDescent="0.25">
      <c r="A226" s="17" t="s">
        <v>45</v>
      </c>
      <c r="B226" s="17">
        <v>10</v>
      </c>
      <c r="C226" s="17" t="s">
        <v>27</v>
      </c>
      <c r="D226" s="17">
        <v>2025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19</v>
      </c>
      <c r="N226" s="17">
        <v>5</v>
      </c>
      <c r="O226" s="17">
        <f t="shared" si="9"/>
        <v>19</v>
      </c>
      <c r="P226" s="17">
        <f t="shared" si="10"/>
        <v>5</v>
      </c>
      <c r="Q226" s="17">
        <f t="shared" si="11"/>
        <v>0</v>
      </c>
      <c r="R226" s="17">
        <v>12</v>
      </c>
      <c r="S226" s="17">
        <v>0</v>
      </c>
    </row>
    <row r="227" spans="1:19" x14ac:dyDescent="0.25">
      <c r="A227" s="17" t="s">
        <v>46</v>
      </c>
      <c r="B227" s="17">
        <v>11</v>
      </c>
      <c r="C227" s="17" t="s">
        <v>27</v>
      </c>
      <c r="D227" s="17">
        <v>2025</v>
      </c>
      <c r="E227" s="17">
        <v>6</v>
      </c>
      <c r="F227" s="17">
        <v>14</v>
      </c>
      <c r="G227" s="17">
        <v>2</v>
      </c>
      <c r="H227" s="17">
        <v>2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f t="shared" si="9"/>
        <v>6</v>
      </c>
      <c r="P227" s="17">
        <f t="shared" si="10"/>
        <v>16</v>
      </c>
      <c r="Q227" s="17">
        <f t="shared" si="11"/>
        <v>2</v>
      </c>
      <c r="R227" s="17">
        <v>0</v>
      </c>
      <c r="S227" s="17">
        <v>12</v>
      </c>
    </row>
    <row r="228" spans="1:19" x14ac:dyDescent="0.25">
      <c r="A228" s="17" t="s">
        <v>47</v>
      </c>
      <c r="B228" s="17">
        <v>12</v>
      </c>
      <c r="C228" s="17" t="s">
        <v>27</v>
      </c>
      <c r="D228" s="17">
        <v>2025</v>
      </c>
      <c r="E228" s="17">
        <v>6</v>
      </c>
      <c r="F228" s="17">
        <v>14</v>
      </c>
      <c r="G228" s="17">
        <v>2</v>
      </c>
      <c r="H228" s="17">
        <v>2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f t="shared" si="9"/>
        <v>6</v>
      </c>
      <c r="P228" s="17">
        <f t="shared" si="10"/>
        <v>16</v>
      </c>
      <c r="Q228" s="17">
        <f t="shared" si="11"/>
        <v>2</v>
      </c>
      <c r="R228" s="17">
        <v>0</v>
      </c>
      <c r="S228" s="17">
        <v>12</v>
      </c>
    </row>
    <row r="229" spans="1:19" x14ac:dyDescent="0.25">
      <c r="A229" s="17" t="s">
        <v>42</v>
      </c>
      <c r="B229" s="17">
        <v>13</v>
      </c>
      <c r="C229" s="17" t="s">
        <v>27</v>
      </c>
      <c r="D229" s="17">
        <v>2025</v>
      </c>
      <c r="E229" s="17">
        <v>6</v>
      </c>
      <c r="F229" s="17">
        <v>14</v>
      </c>
      <c r="G229" s="17">
        <v>2</v>
      </c>
      <c r="H229" s="17">
        <v>2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f t="shared" si="9"/>
        <v>6</v>
      </c>
      <c r="P229" s="17">
        <f t="shared" si="10"/>
        <v>16</v>
      </c>
      <c r="Q229" s="17">
        <f t="shared" si="11"/>
        <v>2</v>
      </c>
      <c r="R229" s="17">
        <v>0</v>
      </c>
      <c r="S229" s="17">
        <v>12</v>
      </c>
    </row>
    <row r="230" spans="1:19" x14ac:dyDescent="0.25">
      <c r="A230" s="17" t="s">
        <v>43</v>
      </c>
      <c r="B230" s="17">
        <v>14</v>
      </c>
      <c r="C230" s="17" t="s">
        <v>27</v>
      </c>
      <c r="D230" s="17">
        <v>2025</v>
      </c>
      <c r="E230" s="17">
        <v>6</v>
      </c>
      <c r="F230" s="17">
        <v>14</v>
      </c>
      <c r="G230" s="17">
        <v>2</v>
      </c>
      <c r="H230" s="17">
        <v>2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f t="shared" si="9"/>
        <v>6</v>
      </c>
      <c r="P230" s="17">
        <f t="shared" si="10"/>
        <v>16</v>
      </c>
      <c r="Q230" s="17">
        <f t="shared" si="11"/>
        <v>2</v>
      </c>
      <c r="R230" s="17">
        <v>0</v>
      </c>
      <c r="S230" s="17">
        <v>12</v>
      </c>
    </row>
    <row r="231" spans="1:19" x14ac:dyDescent="0.25">
      <c r="A231" s="17" t="s">
        <v>44</v>
      </c>
      <c r="B231" s="17">
        <v>15</v>
      </c>
      <c r="C231" s="17" t="s">
        <v>27</v>
      </c>
      <c r="D231" s="17">
        <v>2025</v>
      </c>
      <c r="E231" s="17">
        <v>6</v>
      </c>
      <c r="F231" s="17">
        <v>14</v>
      </c>
      <c r="G231" s="17">
        <v>2</v>
      </c>
      <c r="H231" s="17">
        <v>2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f t="shared" si="9"/>
        <v>6</v>
      </c>
      <c r="P231" s="17">
        <f t="shared" si="10"/>
        <v>16</v>
      </c>
      <c r="Q231" s="17">
        <f t="shared" si="11"/>
        <v>2</v>
      </c>
      <c r="R231" s="17">
        <v>0</v>
      </c>
      <c r="S231" s="17">
        <v>12</v>
      </c>
    </row>
    <row r="232" spans="1:19" x14ac:dyDescent="0.25">
      <c r="A232" s="17" t="s">
        <v>36</v>
      </c>
      <c r="B232" s="17">
        <v>16</v>
      </c>
      <c r="C232" s="17" t="s">
        <v>27</v>
      </c>
      <c r="D232" s="17">
        <v>2025</v>
      </c>
      <c r="E232" s="17">
        <v>0</v>
      </c>
      <c r="F232" s="17">
        <v>0</v>
      </c>
      <c r="G232" s="17">
        <v>0</v>
      </c>
      <c r="H232" s="17">
        <v>0</v>
      </c>
      <c r="I232" s="17">
        <v>7</v>
      </c>
      <c r="J232" s="17">
        <v>17</v>
      </c>
      <c r="K232" s="17">
        <v>0</v>
      </c>
      <c r="L232" s="17">
        <v>0</v>
      </c>
      <c r="M232" s="17">
        <v>0</v>
      </c>
      <c r="N232" s="17">
        <v>0</v>
      </c>
      <c r="O232" s="17">
        <f t="shared" si="9"/>
        <v>7</v>
      </c>
      <c r="P232" s="17">
        <f t="shared" si="10"/>
        <v>17</v>
      </c>
      <c r="Q232" s="17">
        <f t="shared" si="11"/>
        <v>0</v>
      </c>
      <c r="R232" s="17">
        <v>0</v>
      </c>
      <c r="S232" s="17">
        <v>12</v>
      </c>
    </row>
    <row r="233" spans="1:19" x14ac:dyDescent="0.25">
      <c r="A233" s="17" t="s">
        <v>45</v>
      </c>
      <c r="B233" s="17">
        <v>17</v>
      </c>
      <c r="C233" s="17" t="s">
        <v>27</v>
      </c>
      <c r="D233" s="17">
        <v>2025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19</v>
      </c>
      <c r="N233" s="17">
        <v>5</v>
      </c>
      <c r="O233" s="17">
        <f t="shared" si="9"/>
        <v>19</v>
      </c>
      <c r="P233" s="17">
        <f t="shared" si="10"/>
        <v>5</v>
      </c>
      <c r="Q233" s="17">
        <f t="shared" si="11"/>
        <v>0</v>
      </c>
      <c r="R233" s="17">
        <v>12</v>
      </c>
      <c r="S233" s="17">
        <v>0</v>
      </c>
    </row>
    <row r="234" spans="1:19" x14ac:dyDescent="0.25">
      <c r="A234" s="17" t="s">
        <v>46</v>
      </c>
      <c r="B234" s="17">
        <v>18</v>
      </c>
      <c r="C234" s="17" t="s">
        <v>27</v>
      </c>
      <c r="D234" s="17">
        <v>2025</v>
      </c>
      <c r="E234" s="17">
        <v>6</v>
      </c>
      <c r="F234" s="17">
        <v>14</v>
      </c>
      <c r="G234" s="17">
        <v>2</v>
      </c>
      <c r="H234" s="17">
        <v>2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f t="shared" si="9"/>
        <v>6</v>
      </c>
      <c r="P234" s="17">
        <f t="shared" si="10"/>
        <v>16</v>
      </c>
      <c r="Q234" s="17">
        <f t="shared" si="11"/>
        <v>2</v>
      </c>
      <c r="R234" s="17">
        <v>0</v>
      </c>
      <c r="S234" s="17">
        <v>12</v>
      </c>
    </row>
    <row r="235" spans="1:19" x14ac:dyDescent="0.25">
      <c r="A235" s="17" t="s">
        <v>47</v>
      </c>
      <c r="B235" s="17">
        <v>19</v>
      </c>
      <c r="C235" s="17" t="s">
        <v>27</v>
      </c>
      <c r="D235" s="17">
        <v>2025</v>
      </c>
      <c r="E235" s="17">
        <v>6</v>
      </c>
      <c r="F235" s="17">
        <v>14</v>
      </c>
      <c r="G235" s="17">
        <v>2</v>
      </c>
      <c r="H235" s="17">
        <v>2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f t="shared" si="9"/>
        <v>6</v>
      </c>
      <c r="P235" s="17">
        <f t="shared" si="10"/>
        <v>16</v>
      </c>
      <c r="Q235" s="17">
        <f t="shared" si="11"/>
        <v>2</v>
      </c>
      <c r="R235" s="17">
        <v>0</v>
      </c>
      <c r="S235" s="17">
        <v>12</v>
      </c>
    </row>
    <row r="236" spans="1:19" x14ac:dyDescent="0.25">
      <c r="A236" s="17" t="s">
        <v>42</v>
      </c>
      <c r="B236" s="17">
        <v>20</v>
      </c>
      <c r="C236" s="17" t="s">
        <v>27</v>
      </c>
      <c r="D236" s="17">
        <v>2025</v>
      </c>
      <c r="E236" s="17">
        <v>6</v>
      </c>
      <c r="F236" s="17">
        <v>14</v>
      </c>
      <c r="G236" s="17">
        <v>2</v>
      </c>
      <c r="H236" s="17">
        <v>2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f t="shared" si="9"/>
        <v>6</v>
      </c>
      <c r="P236" s="17">
        <f t="shared" si="10"/>
        <v>16</v>
      </c>
      <c r="Q236" s="17">
        <f t="shared" si="11"/>
        <v>2</v>
      </c>
      <c r="R236" s="17">
        <v>0</v>
      </c>
      <c r="S236" s="17">
        <v>12</v>
      </c>
    </row>
    <row r="237" spans="1:19" x14ac:dyDescent="0.25">
      <c r="A237" s="17" t="s">
        <v>43</v>
      </c>
      <c r="B237" s="17">
        <v>21</v>
      </c>
      <c r="C237" s="17" t="s">
        <v>27</v>
      </c>
      <c r="D237" s="17">
        <v>2025</v>
      </c>
      <c r="E237" s="17">
        <v>6</v>
      </c>
      <c r="F237" s="17">
        <v>14</v>
      </c>
      <c r="G237" s="17">
        <v>2</v>
      </c>
      <c r="H237" s="17">
        <v>2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f t="shared" si="9"/>
        <v>6</v>
      </c>
      <c r="P237" s="17">
        <f t="shared" si="10"/>
        <v>16</v>
      </c>
      <c r="Q237" s="17">
        <f t="shared" si="11"/>
        <v>2</v>
      </c>
      <c r="R237" s="17">
        <v>0</v>
      </c>
      <c r="S237" s="17">
        <v>12</v>
      </c>
    </row>
    <row r="238" spans="1:19" x14ac:dyDescent="0.25">
      <c r="A238" s="17" t="s">
        <v>44</v>
      </c>
      <c r="B238" s="17">
        <v>22</v>
      </c>
      <c r="C238" s="17" t="s">
        <v>27</v>
      </c>
      <c r="D238" s="17">
        <v>2025</v>
      </c>
      <c r="E238" s="17">
        <v>6</v>
      </c>
      <c r="F238" s="17">
        <v>14</v>
      </c>
      <c r="G238" s="17">
        <v>2</v>
      </c>
      <c r="H238" s="17">
        <v>2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f t="shared" si="9"/>
        <v>6</v>
      </c>
      <c r="P238" s="17">
        <f t="shared" si="10"/>
        <v>16</v>
      </c>
      <c r="Q238" s="17">
        <f t="shared" si="11"/>
        <v>2</v>
      </c>
      <c r="R238" s="17">
        <v>0</v>
      </c>
      <c r="S238" s="17">
        <v>12</v>
      </c>
    </row>
    <row r="239" spans="1:19" x14ac:dyDescent="0.25">
      <c r="A239" s="17" t="s">
        <v>36</v>
      </c>
      <c r="B239" s="17">
        <v>23</v>
      </c>
      <c r="C239" s="17" t="s">
        <v>27</v>
      </c>
      <c r="D239" s="17">
        <v>2025</v>
      </c>
      <c r="E239" s="17">
        <v>0</v>
      </c>
      <c r="F239" s="17">
        <v>0</v>
      </c>
      <c r="G239" s="17">
        <v>0</v>
      </c>
      <c r="H239" s="17">
        <v>0</v>
      </c>
      <c r="I239" s="17">
        <v>7</v>
      </c>
      <c r="J239" s="17">
        <v>17</v>
      </c>
      <c r="K239" s="17">
        <v>0</v>
      </c>
      <c r="L239" s="17">
        <v>0</v>
      </c>
      <c r="M239" s="17">
        <v>0</v>
      </c>
      <c r="N239" s="17">
        <v>0</v>
      </c>
      <c r="O239" s="17">
        <f t="shared" si="9"/>
        <v>7</v>
      </c>
      <c r="P239" s="17">
        <f t="shared" si="10"/>
        <v>17</v>
      </c>
      <c r="Q239" s="17">
        <f t="shared" si="11"/>
        <v>0</v>
      </c>
      <c r="R239" s="17">
        <v>0</v>
      </c>
      <c r="S239" s="17">
        <v>12</v>
      </c>
    </row>
    <row r="240" spans="1:19" x14ac:dyDescent="0.25">
      <c r="A240" s="17" t="s">
        <v>45</v>
      </c>
      <c r="B240" s="17">
        <v>24</v>
      </c>
      <c r="C240" s="17" t="s">
        <v>27</v>
      </c>
      <c r="D240" s="17">
        <v>2025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19</v>
      </c>
      <c r="N240" s="17">
        <v>5</v>
      </c>
      <c r="O240" s="17">
        <f t="shared" si="9"/>
        <v>19</v>
      </c>
      <c r="P240" s="17">
        <f t="shared" si="10"/>
        <v>5</v>
      </c>
      <c r="Q240" s="17">
        <f t="shared" si="11"/>
        <v>0</v>
      </c>
      <c r="R240" s="17">
        <v>12</v>
      </c>
      <c r="S240" s="17">
        <v>0</v>
      </c>
    </row>
    <row r="241" spans="1:19" x14ac:dyDescent="0.25">
      <c r="A241" s="17" t="s">
        <v>46</v>
      </c>
      <c r="B241" s="17">
        <v>25</v>
      </c>
      <c r="C241" s="17" t="s">
        <v>27</v>
      </c>
      <c r="D241" s="17">
        <v>2025</v>
      </c>
      <c r="E241" s="17">
        <v>6</v>
      </c>
      <c r="F241" s="17">
        <v>14</v>
      </c>
      <c r="G241" s="17">
        <v>2</v>
      </c>
      <c r="H241" s="17">
        <v>2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f t="shared" si="9"/>
        <v>6</v>
      </c>
      <c r="P241" s="17">
        <f t="shared" si="10"/>
        <v>16</v>
      </c>
      <c r="Q241" s="17">
        <f t="shared" si="11"/>
        <v>2</v>
      </c>
      <c r="R241" s="17">
        <v>0</v>
      </c>
      <c r="S241" s="17">
        <v>12</v>
      </c>
    </row>
    <row r="242" spans="1:19" x14ac:dyDescent="0.25">
      <c r="A242" s="17" t="s">
        <v>47</v>
      </c>
      <c r="B242" s="17">
        <v>26</v>
      </c>
      <c r="C242" s="17" t="s">
        <v>27</v>
      </c>
      <c r="D242" s="17">
        <v>2025</v>
      </c>
      <c r="E242" s="17">
        <v>6</v>
      </c>
      <c r="F242" s="17">
        <v>14</v>
      </c>
      <c r="G242" s="17">
        <v>2</v>
      </c>
      <c r="H242" s="17">
        <v>2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f t="shared" si="9"/>
        <v>6</v>
      </c>
      <c r="P242" s="17">
        <f t="shared" si="10"/>
        <v>16</v>
      </c>
      <c r="Q242" s="17">
        <f t="shared" si="11"/>
        <v>2</v>
      </c>
      <c r="R242" s="17">
        <v>0</v>
      </c>
      <c r="S242" s="17">
        <v>12</v>
      </c>
    </row>
    <row r="243" spans="1:19" x14ac:dyDescent="0.25">
      <c r="A243" s="17" t="s">
        <v>42</v>
      </c>
      <c r="B243" s="17">
        <v>27</v>
      </c>
      <c r="C243" s="17" t="s">
        <v>27</v>
      </c>
      <c r="D243" s="17">
        <v>2025</v>
      </c>
      <c r="E243" s="17">
        <v>6</v>
      </c>
      <c r="F243" s="17">
        <v>14</v>
      </c>
      <c r="G243" s="17">
        <v>2</v>
      </c>
      <c r="H243" s="17">
        <v>2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f t="shared" si="9"/>
        <v>6</v>
      </c>
      <c r="P243" s="17">
        <f t="shared" si="10"/>
        <v>16</v>
      </c>
      <c r="Q243" s="17">
        <f t="shared" si="11"/>
        <v>2</v>
      </c>
      <c r="R243" s="17">
        <v>0</v>
      </c>
      <c r="S243" s="17">
        <v>12</v>
      </c>
    </row>
    <row r="244" spans="1:19" x14ac:dyDescent="0.25">
      <c r="A244" s="17" t="s">
        <v>43</v>
      </c>
      <c r="B244" s="17">
        <v>28</v>
      </c>
      <c r="C244" s="17" t="s">
        <v>27</v>
      </c>
      <c r="D244" s="17">
        <v>2025</v>
      </c>
      <c r="E244" s="17">
        <v>6</v>
      </c>
      <c r="F244" s="17">
        <v>14</v>
      </c>
      <c r="G244" s="17">
        <v>2</v>
      </c>
      <c r="H244" s="17">
        <v>2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f t="shared" si="9"/>
        <v>6</v>
      </c>
      <c r="P244" s="17">
        <f t="shared" si="10"/>
        <v>16</v>
      </c>
      <c r="Q244" s="17">
        <f t="shared" si="11"/>
        <v>2</v>
      </c>
      <c r="R244" s="17">
        <v>0</v>
      </c>
      <c r="S244" s="17">
        <v>12</v>
      </c>
    </row>
    <row r="245" spans="1:19" x14ac:dyDescent="0.25">
      <c r="A245" s="17" t="s">
        <v>44</v>
      </c>
      <c r="B245" s="17">
        <v>29</v>
      </c>
      <c r="C245" s="17" t="s">
        <v>27</v>
      </c>
      <c r="D245" s="17">
        <v>2025</v>
      </c>
      <c r="E245" s="17">
        <v>6</v>
      </c>
      <c r="F245" s="17">
        <v>14</v>
      </c>
      <c r="G245" s="17">
        <v>2</v>
      </c>
      <c r="H245" s="17">
        <v>2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f t="shared" si="9"/>
        <v>6</v>
      </c>
      <c r="P245" s="17">
        <f t="shared" si="10"/>
        <v>16</v>
      </c>
      <c r="Q245" s="17">
        <f t="shared" si="11"/>
        <v>2</v>
      </c>
      <c r="R245" s="17">
        <v>0</v>
      </c>
      <c r="S245" s="17">
        <v>12</v>
      </c>
    </row>
    <row r="246" spans="1:19" x14ac:dyDescent="0.25">
      <c r="A246" s="17" t="s">
        <v>36</v>
      </c>
      <c r="B246" s="17">
        <v>30</v>
      </c>
      <c r="C246" s="17" t="s">
        <v>27</v>
      </c>
      <c r="D246" s="17">
        <v>2025</v>
      </c>
      <c r="E246" s="17">
        <v>0</v>
      </c>
      <c r="F246" s="17">
        <v>0</v>
      </c>
      <c r="G246" s="17">
        <v>0</v>
      </c>
      <c r="H246" s="17">
        <v>0</v>
      </c>
      <c r="I246" s="17">
        <v>7</v>
      </c>
      <c r="J246" s="17">
        <v>17</v>
      </c>
      <c r="K246" s="17">
        <v>0</v>
      </c>
      <c r="L246" s="17">
        <v>0</v>
      </c>
      <c r="M246" s="17">
        <v>0</v>
      </c>
      <c r="N246" s="17">
        <v>0</v>
      </c>
      <c r="O246" s="17">
        <f t="shared" si="9"/>
        <v>7</v>
      </c>
      <c r="P246" s="17">
        <f t="shared" si="10"/>
        <v>17</v>
      </c>
      <c r="Q246" s="17">
        <f t="shared" si="11"/>
        <v>0</v>
      </c>
      <c r="R246" s="17">
        <v>0</v>
      </c>
      <c r="S246" s="17">
        <v>12</v>
      </c>
    </row>
    <row r="247" spans="1:19" x14ac:dyDescent="0.25">
      <c r="A247" s="17" t="s">
        <v>45</v>
      </c>
      <c r="B247" s="17">
        <v>31</v>
      </c>
      <c r="C247" s="17" t="s">
        <v>27</v>
      </c>
      <c r="D247" s="17">
        <v>2025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19</v>
      </c>
      <c r="N247" s="17">
        <v>5</v>
      </c>
      <c r="O247" s="17">
        <f t="shared" si="9"/>
        <v>19</v>
      </c>
      <c r="P247" s="17">
        <f t="shared" si="10"/>
        <v>5</v>
      </c>
      <c r="Q247" s="17">
        <f t="shared" si="11"/>
        <v>0</v>
      </c>
      <c r="R247" s="17">
        <v>12</v>
      </c>
      <c r="S247" s="17">
        <v>0</v>
      </c>
    </row>
    <row r="248" spans="1:19" x14ac:dyDescent="0.25">
      <c r="A248" s="18" t="s">
        <v>46</v>
      </c>
      <c r="B248" s="18">
        <v>1</v>
      </c>
      <c r="C248" s="18" t="s">
        <v>28</v>
      </c>
      <c r="D248" s="18">
        <v>2025</v>
      </c>
      <c r="E248" s="18">
        <v>6</v>
      </c>
      <c r="F248" s="18">
        <v>14</v>
      </c>
      <c r="G248" s="18">
        <v>2</v>
      </c>
      <c r="H248" s="18">
        <v>2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f t="shared" si="9"/>
        <v>6</v>
      </c>
      <c r="P248" s="18">
        <f t="shared" si="10"/>
        <v>16</v>
      </c>
      <c r="Q248" s="18">
        <f t="shared" si="11"/>
        <v>2</v>
      </c>
      <c r="R248" s="18">
        <v>0</v>
      </c>
      <c r="S248" s="18">
        <v>12</v>
      </c>
    </row>
    <row r="249" spans="1:19" x14ac:dyDescent="0.25">
      <c r="A249" s="18" t="s">
        <v>47</v>
      </c>
      <c r="B249" s="18">
        <v>2</v>
      </c>
      <c r="C249" s="18" t="s">
        <v>28</v>
      </c>
      <c r="D249" s="18">
        <v>2025</v>
      </c>
      <c r="E249" s="18">
        <v>6</v>
      </c>
      <c r="F249" s="18">
        <v>14</v>
      </c>
      <c r="G249" s="18">
        <v>2</v>
      </c>
      <c r="H249" s="18">
        <v>2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f t="shared" si="9"/>
        <v>6</v>
      </c>
      <c r="P249" s="18">
        <f t="shared" si="10"/>
        <v>16</v>
      </c>
      <c r="Q249" s="18">
        <f t="shared" si="11"/>
        <v>2</v>
      </c>
      <c r="R249" s="18">
        <v>0</v>
      </c>
      <c r="S249" s="18">
        <v>12</v>
      </c>
    </row>
    <row r="250" spans="1:19" x14ac:dyDescent="0.25">
      <c r="A250" s="18" t="s">
        <v>42</v>
      </c>
      <c r="B250" s="18">
        <v>3</v>
      </c>
      <c r="C250" s="18" t="s">
        <v>28</v>
      </c>
      <c r="D250" s="18">
        <v>2025</v>
      </c>
      <c r="E250" s="18">
        <v>6</v>
      </c>
      <c r="F250" s="18">
        <v>14</v>
      </c>
      <c r="G250" s="18">
        <v>2</v>
      </c>
      <c r="H250" s="18">
        <v>2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f t="shared" si="9"/>
        <v>6</v>
      </c>
      <c r="P250" s="18">
        <f t="shared" si="10"/>
        <v>16</v>
      </c>
      <c r="Q250" s="18">
        <f t="shared" si="11"/>
        <v>2</v>
      </c>
      <c r="R250" s="18">
        <v>0</v>
      </c>
      <c r="S250" s="18">
        <v>12</v>
      </c>
    </row>
    <row r="251" spans="1:19" x14ac:dyDescent="0.25">
      <c r="A251" s="18" t="s">
        <v>43</v>
      </c>
      <c r="B251" s="18">
        <v>4</v>
      </c>
      <c r="C251" s="18" t="s">
        <v>28</v>
      </c>
      <c r="D251" s="18">
        <v>2025</v>
      </c>
      <c r="E251" s="18">
        <v>6</v>
      </c>
      <c r="F251" s="18">
        <v>14</v>
      </c>
      <c r="G251" s="18">
        <v>2</v>
      </c>
      <c r="H251" s="18">
        <v>2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f t="shared" si="9"/>
        <v>6</v>
      </c>
      <c r="P251" s="18">
        <f t="shared" si="10"/>
        <v>16</v>
      </c>
      <c r="Q251" s="18">
        <f t="shared" si="11"/>
        <v>2</v>
      </c>
      <c r="R251" s="18">
        <v>0</v>
      </c>
      <c r="S251" s="18">
        <v>12</v>
      </c>
    </row>
    <row r="252" spans="1:19" x14ac:dyDescent="0.25">
      <c r="A252" s="18" t="s">
        <v>44</v>
      </c>
      <c r="B252" s="18">
        <v>5</v>
      </c>
      <c r="C252" s="18" t="s">
        <v>28</v>
      </c>
      <c r="D252" s="18">
        <v>2025</v>
      </c>
      <c r="E252" s="18">
        <v>6</v>
      </c>
      <c r="F252" s="18">
        <v>14</v>
      </c>
      <c r="G252" s="18">
        <v>2</v>
      </c>
      <c r="H252" s="18">
        <v>2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f t="shared" si="9"/>
        <v>6</v>
      </c>
      <c r="P252" s="18">
        <f t="shared" si="10"/>
        <v>16</v>
      </c>
      <c r="Q252" s="18">
        <f t="shared" si="11"/>
        <v>2</v>
      </c>
      <c r="R252" s="18">
        <v>0</v>
      </c>
      <c r="S252" s="18">
        <v>12</v>
      </c>
    </row>
    <row r="253" spans="1:19" x14ac:dyDescent="0.25">
      <c r="A253" s="18" t="s">
        <v>36</v>
      </c>
      <c r="B253" s="18">
        <v>6</v>
      </c>
      <c r="C253" s="18" t="s">
        <v>28</v>
      </c>
      <c r="D253" s="18">
        <v>2025</v>
      </c>
      <c r="E253" s="18">
        <v>0</v>
      </c>
      <c r="F253" s="18">
        <v>0</v>
      </c>
      <c r="G253" s="18">
        <v>0</v>
      </c>
      <c r="H253" s="18">
        <v>0</v>
      </c>
      <c r="I253" s="18">
        <v>7</v>
      </c>
      <c r="J253" s="18">
        <v>17</v>
      </c>
      <c r="K253" s="18">
        <v>0</v>
      </c>
      <c r="L253" s="18">
        <v>0</v>
      </c>
      <c r="M253" s="18">
        <v>0</v>
      </c>
      <c r="N253" s="18">
        <v>0</v>
      </c>
      <c r="O253" s="18">
        <f t="shared" si="9"/>
        <v>7</v>
      </c>
      <c r="P253" s="18">
        <f t="shared" si="10"/>
        <v>17</v>
      </c>
      <c r="Q253" s="18">
        <f t="shared" si="11"/>
        <v>0</v>
      </c>
      <c r="R253" s="18">
        <v>0</v>
      </c>
      <c r="S253" s="18">
        <v>12</v>
      </c>
    </row>
    <row r="254" spans="1:19" x14ac:dyDescent="0.25">
      <c r="A254" s="18" t="s">
        <v>45</v>
      </c>
      <c r="B254" s="18">
        <v>7</v>
      </c>
      <c r="C254" s="18" t="s">
        <v>28</v>
      </c>
      <c r="D254" s="18">
        <v>2025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19</v>
      </c>
      <c r="N254" s="18">
        <v>5</v>
      </c>
      <c r="O254" s="18">
        <f t="shared" si="9"/>
        <v>19</v>
      </c>
      <c r="P254" s="18">
        <f t="shared" si="10"/>
        <v>5</v>
      </c>
      <c r="Q254" s="18">
        <f t="shared" si="11"/>
        <v>0</v>
      </c>
      <c r="R254" s="18">
        <v>12</v>
      </c>
      <c r="S254" s="18">
        <v>0</v>
      </c>
    </row>
    <row r="255" spans="1:19" x14ac:dyDescent="0.25">
      <c r="A255" s="18" t="s">
        <v>46</v>
      </c>
      <c r="B255" s="18">
        <v>8</v>
      </c>
      <c r="C255" s="18" t="s">
        <v>28</v>
      </c>
      <c r="D255" s="18">
        <v>2025</v>
      </c>
      <c r="E255" s="18">
        <v>6</v>
      </c>
      <c r="F255" s="18">
        <v>14</v>
      </c>
      <c r="G255" s="18">
        <v>2</v>
      </c>
      <c r="H255" s="18">
        <v>2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f t="shared" si="9"/>
        <v>6</v>
      </c>
      <c r="P255" s="18">
        <f t="shared" si="10"/>
        <v>16</v>
      </c>
      <c r="Q255" s="18">
        <f t="shared" si="11"/>
        <v>2</v>
      </c>
      <c r="R255" s="18">
        <v>0</v>
      </c>
      <c r="S255" s="18">
        <v>12</v>
      </c>
    </row>
    <row r="256" spans="1:19" x14ac:dyDescent="0.25">
      <c r="A256" s="18" t="s">
        <v>47</v>
      </c>
      <c r="B256" s="18">
        <v>9</v>
      </c>
      <c r="C256" s="18" t="s">
        <v>28</v>
      </c>
      <c r="D256" s="18">
        <v>2025</v>
      </c>
      <c r="E256" s="18">
        <v>6</v>
      </c>
      <c r="F256" s="18">
        <v>14</v>
      </c>
      <c r="G256" s="18">
        <v>2</v>
      </c>
      <c r="H256" s="18">
        <v>2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f t="shared" si="9"/>
        <v>6</v>
      </c>
      <c r="P256" s="18">
        <f t="shared" si="10"/>
        <v>16</v>
      </c>
      <c r="Q256" s="18">
        <f t="shared" si="11"/>
        <v>2</v>
      </c>
      <c r="R256" s="18">
        <v>0</v>
      </c>
      <c r="S256" s="18">
        <v>12</v>
      </c>
    </row>
    <row r="257" spans="1:19" x14ac:dyDescent="0.25">
      <c r="A257" s="18" t="s">
        <v>42</v>
      </c>
      <c r="B257" s="18">
        <v>10</v>
      </c>
      <c r="C257" s="18" t="s">
        <v>28</v>
      </c>
      <c r="D257" s="18">
        <v>2025</v>
      </c>
      <c r="E257" s="18">
        <v>6</v>
      </c>
      <c r="F257" s="18">
        <v>14</v>
      </c>
      <c r="G257" s="18">
        <v>2</v>
      </c>
      <c r="H257" s="18">
        <v>2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f t="shared" si="9"/>
        <v>6</v>
      </c>
      <c r="P257" s="18">
        <f t="shared" si="10"/>
        <v>16</v>
      </c>
      <c r="Q257" s="18">
        <f t="shared" si="11"/>
        <v>2</v>
      </c>
      <c r="R257" s="18">
        <v>0</v>
      </c>
      <c r="S257" s="18">
        <v>12</v>
      </c>
    </row>
    <row r="258" spans="1:19" x14ac:dyDescent="0.25">
      <c r="A258" s="18" t="s">
        <v>43</v>
      </c>
      <c r="B258" s="18">
        <v>11</v>
      </c>
      <c r="C258" s="18" t="s">
        <v>28</v>
      </c>
      <c r="D258" s="18">
        <v>2025</v>
      </c>
      <c r="E258" s="18">
        <v>6</v>
      </c>
      <c r="F258" s="18">
        <v>14</v>
      </c>
      <c r="G258" s="18">
        <v>2</v>
      </c>
      <c r="H258" s="18">
        <v>2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f t="shared" si="9"/>
        <v>6</v>
      </c>
      <c r="P258" s="18">
        <f t="shared" si="10"/>
        <v>16</v>
      </c>
      <c r="Q258" s="18">
        <f t="shared" si="11"/>
        <v>2</v>
      </c>
      <c r="R258" s="18">
        <v>0</v>
      </c>
      <c r="S258" s="18">
        <v>12</v>
      </c>
    </row>
    <row r="259" spans="1:19" x14ac:dyDescent="0.25">
      <c r="A259" s="18" t="s">
        <v>44</v>
      </c>
      <c r="B259" s="18">
        <v>12</v>
      </c>
      <c r="C259" s="18" t="s">
        <v>28</v>
      </c>
      <c r="D259" s="18">
        <v>2025</v>
      </c>
      <c r="E259" s="18">
        <v>6</v>
      </c>
      <c r="F259" s="18">
        <v>14</v>
      </c>
      <c r="G259" s="18">
        <v>2</v>
      </c>
      <c r="H259" s="18">
        <v>2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f t="shared" ref="O259:O319" si="12">SUM(E259,I259,M259)</f>
        <v>6</v>
      </c>
      <c r="P259" s="18">
        <f t="shared" ref="P259:P319" si="13">SUM(F259,H259,J259,L259,N259)</f>
        <v>16</v>
      </c>
      <c r="Q259" s="18">
        <f t="shared" ref="Q259:Q319" si="14">SUM(G259,K259)</f>
        <v>2</v>
      </c>
      <c r="R259" s="18">
        <v>0</v>
      </c>
      <c r="S259" s="18">
        <v>12</v>
      </c>
    </row>
    <row r="260" spans="1:19" x14ac:dyDescent="0.25">
      <c r="A260" s="18" t="s">
        <v>36</v>
      </c>
      <c r="B260" s="18">
        <v>13</v>
      </c>
      <c r="C260" s="18" t="s">
        <v>28</v>
      </c>
      <c r="D260" s="18">
        <v>2025</v>
      </c>
      <c r="E260" s="18">
        <v>0</v>
      </c>
      <c r="F260" s="18">
        <v>0</v>
      </c>
      <c r="G260" s="18">
        <v>0</v>
      </c>
      <c r="H260" s="18">
        <v>0</v>
      </c>
      <c r="I260" s="18">
        <v>7</v>
      </c>
      <c r="J260" s="18">
        <v>17</v>
      </c>
      <c r="K260" s="18">
        <v>0</v>
      </c>
      <c r="L260" s="18">
        <v>0</v>
      </c>
      <c r="M260" s="18">
        <v>0</v>
      </c>
      <c r="N260" s="18">
        <v>0</v>
      </c>
      <c r="O260" s="18">
        <f t="shared" si="12"/>
        <v>7</v>
      </c>
      <c r="P260" s="18">
        <f t="shared" si="13"/>
        <v>17</v>
      </c>
      <c r="Q260" s="18">
        <f t="shared" si="14"/>
        <v>0</v>
      </c>
      <c r="R260" s="18">
        <v>0</v>
      </c>
      <c r="S260" s="18">
        <v>12</v>
      </c>
    </row>
    <row r="261" spans="1:19" x14ac:dyDescent="0.25">
      <c r="A261" s="18" t="s">
        <v>45</v>
      </c>
      <c r="B261" s="18">
        <v>14</v>
      </c>
      <c r="C261" s="18" t="s">
        <v>28</v>
      </c>
      <c r="D261" s="18">
        <v>2025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19</v>
      </c>
      <c r="N261" s="18">
        <v>5</v>
      </c>
      <c r="O261" s="18">
        <f t="shared" si="12"/>
        <v>19</v>
      </c>
      <c r="P261" s="18">
        <f t="shared" si="13"/>
        <v>5</v>
      </c>
      <c r="Q261" s="18">
        <f t="shared" si="14"/>
        <v>0</v>
      </c>
      <c r="R261" s="18">
        <v>12</v>
      </c>
      <c r="S261" s="18">
        <v>0</v>
      </c>
    </row>
    <row r="262" spans="1:19" x14ac:dyDescent="0.25">
      <c r="A262" s="18" t="s">
        <v>46</v>
      </c>
      <c r="B262" s="18">
        <v>15</v>
      </c>
      <c r="C262" s="18" t="s">
        <v>28</v>
      </c>
      <c r="D262" s="18">
        <v>2025</v>
      </c>
      <c r="E262" s="18">
        <v>6</v>
      </c>
      <c r="F262" s="18">
        <v>14</v>
      </c>
      <c r="G262" s="18">
        <v>2</v>
      </c>
      <c r="H262" s="18">
        <v>2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f t="shared" si="12"/>
        <v>6</v>
      </c>
      <c r="P262" s="18">
        <f t="shared" si="13"/>
        <v>16</v>
      </c>
      <c r="Q262" s="18">
        <f t="shared" si="14"/>
        <v>2</v>
      </c>
      <c r="R262" s="18">
        <v>0</v>
      </c>
      <c r="S262" s="18">
        <v>12</v>
      </c>
    </row>
    <row r="263" spans="1:19" x14ac:dyDescent="0.25">
      <c r="A263" s="18" t="s">
        <v>47</v>
      </c>
      <c r="B263" s="18">
        <v>16</v>
      </c>
      <c r="C263" s="18" t="s">
        <v>28</v>
      </c>
      <c r="D263" s="18">
        <v>2025</v>
      </c>
      <c r="E263" s="18">
        <v>6</v>
      </c>
      <c r="F263" s="18">
        <v>14</v>
      </c>
      <c r="G263" s="18">
        <v>2</v>
      </c>
      <c r="H263" s="18">
        <v>2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f t="shared" si="12"/>
        <v>6</v>
      </c>
      <c r="P263" s="18">
        <f t="shared" si="13"/>
        <v>16</v>
      </c>
      <c r="Q263" s="18">
        <f t="shared" si="14"/>
        <v>2</v>
      </c>
      <c r="R263" s="18">
        <v>0</v>
      </c>
      <c r="S263" s="18">
        <v>12</v>
      </c>
    </row>
    <row r="264" spans="1:19" x14ac:dyDescent="0.25">
      <c r="A264" s="18" t="s">
        <v>42</v>
      </c>
      <c r="B264" s="18">
        <v>17</v>
      </c>
      <c r="C264" s="18" t="s">
        <v>28</v>
      </c>
      <c r="D264" s="18">
        <v>2025</v>
      </c>
      <c r="E264" s="18">
        <v>6</v>
      </c>
      <c r="F264" s="18">
        <v>14</v>
      </c>
      <c r="G264" s="18">
        <v>2</v>
      </c>
      <c r="H264" s="18">
        <v>2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f t="shared" si="12"/>
        <v>6</v>
      </c>
      <c r="P264" s="18">
        <f t="shared" si="13"/>
        <v>16</v>
      </c>
      <c r="Q264" s="18">
        <f t="shared" si="14"/>
        <v>2</v>
      </c>
      <c r="R264" s="18">
        <v>0</v>
      </c>
      <c r="S264" s="18">
        <v>12</v>
      </c>
    </row>
    <row r="265" spans="1:19" x14ac:dyDescent="0.25">
      <c r="A265" s="18" t="s">
        <v>43</v>
      </c>
      <c r="B265" s="18">
        <v>18</v>
      </c>
      <c r="C265" s="18" t="s">
        <v>28</v>
      </c>
      <c r="D265" s="18">
        <v>2025</v>
      </c>
      <c r="E265" s="18">
        <v>6</v>
      </c>
      <c r="F265" s="18">
        <v>14</v>
      </c>
      <c r="G265" s="18">
        <v>2</v>
      </c>
      <c r="H265" s="18">
        <v>2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f t="shared" si="12"/>
        <v>6</v>
      </c>
      <c r="P265" s="18">
        <f t="shared" si="13"/>
        <v>16</v>
      </c>
      <c r="Q265" s="18">
        <f t="shared" si="14"/>
        <v>2</v>
      </c>
      <c r="R265" s="18">
        <v>0</v>
      </c>
      <c r="S265" s="18">
        <v>12</v>
      </c>
    </row>
    <row r="266" spans="1:19" x14ac:dyDescent="0.25">
      <c r="A266" s="18" t="s">
        <v>44</v>
      </c>
      <c r="B266" s="18">
        <v>19</v>
      </c>
      <c r="C266" s="18" t="s">
        <v>28</v>
      </c>
      <c r="D266" s="18">
        <v>2025</v>
      </c>
      <c r="E266" s="18">
        <v>6</v>
      </c>
      <c r="F266" s="18">
        <v>14</v>
      </c>
      <c r="G266" s="18">
        <v>2</v>
      </c>
      <c r="H266" s="18">
        <v>2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f t="shared" si="12"/>
        <v>6</v>
      </c>
      <c r="P266" s="18">
        <f t="shared" si="13"/>
        <v>16</v>
      </c>
      <c r="Q266" s="18">
        <f t="shared" si="14"/>
        <v>2</v>
      </c>
      <c r="R266" s="18">
        <v>0</v>
      </c>
      <c r="S266" s="18">
        <v>12</v>
      </c>
    </row>
    <row r="267" spans="1:19" x14ac:dyDescent="0.25">
      <c r="A267" s="18" t="s">
        <v>36</v>
      </c>
      <c r="B267" s="18">
        <v>20</v>
      </c>
      <c r="C267" s="18" t="s">
        <v>28</v>
      </c>
      <c r="D267" s="18">
        <v>2025</v>
      </c>
      <c r="E267" s="18">
        <v>0</v>
      </c>
      <c r="F267" s="18">
        <v>0</v>
      </c>
      <c r="G267" s="18">
        <v>0</v>
      </c>
      <c r="H267" s="18">
        <v>0</v>
      </c>
      <c r="I267" s="18">
        <v>7</v>
      </c>
      <c r="J267" s="18">
        <v>17</v>
      </c>
      <c r="K267" s="18">
        <v>0</v>
      </c>
      <c r="L267" s="18">
        <v>0</v>
      </c>
      <c r="M267" s="18">
        <v>0</v>
      </c>
      <c r="N267" s="18">
        <v>0</v>
      </c>
      <c r="O267" s="18">
        <f t="shared" si="12"/>
        <v>7</v>
      </c>
      <c r="P267" s="18">
        <f t="shared" si="13"/>
        <v>17</v>
      </c>
      <c r="Q267" s="18">
        <f t="shared" si="14"/>
        <v>0</v>
      </c>
      <c r="R267" s="18">
        <v>0</v>
      </c>
      <c r="S267" s="18">
        <v>12</v>
      </c>
    </row>
    <row r="268" spans="1:19" x14ac:dyDescent="0.25">
      <c r="A268" s="18" t="s">
        <v>45</v>
      </c>
      <c r="B268" s="18">
        <v>21</v>
      </c>
      <c r="C268" s="18" t="s">
        <v>28</v>
      </c>
      <c r="D268" s="18">
        <v>2025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19</v>
      </c>
      <c r="N268" s="18">
        <v>5</v>
      </c>
      <c r="O268" s="18">
        <f t="shared" si="12"/>
        <v>19</v>
      </c>
      <c r="P268" s="18">
        <f t="shared" si="13"/>
        <v>5</v>
      </c>
      <c r="Q268" s="18">
        <f t="shared" si="14"/>
        <v>0</v>
      </c>
      <c r="R268" s="18">
        <v>12</v>
      </c>
      <c r="S268" s="18">
        <v>0</v>
      </c>
    </row>
    <row r="269" spans="1:19" x14ac:dyDescent="0.25">
      <c r="A269" s="18" t="s">
        <v>46</v>
      </c>
      <c r="B269" s="18">
        <v>22</v>
      </c>
      <c r="C269" s="18" t="s">
        <v>28</v>
      </c>
      <c r="D269" s="18">
        <v>2025</v>
      </c>
      <c r="E269" s="18">
        <v>6</v>
      </c>
      <c r="F269" s="18">
        <v>14</v>
      </c>
      <c r="G269" s="18">
        <v>2</v>
      </c>
      <c r="H269" s="18">
        <v>2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f t="shared" si="12"/>
        <v>6</v>
      </c>
      <c r="P269" s="18">
        <f t="shared" si="13"/>
        <v>16</v>
      </c>
      <c r="Q269" s="18">
        <f t="shared" si="14"/>
        <v>2</v>
      </c>
      <c r="R269" s="18">
        <v>0</v>
      </c>
      <c r="S269" s="18">
        <v>12</v>
      </c>
    </row>
    <row r="270" spans="1:19" x14ac:dyDescent="0.25">
      <c r="A270" s="18" t="s">
        <v>47</v>
      </c>
      <c r="B270" s="18">
        <v>23</v>
      </c>
      <c r="C270" s="18" t="s">
        <v>28</v>
      </c>
      <c r="D270" s="18">
        <v>2025</v>
      </c>
      <c r="E270" s="18">
        <v>6</v>
      </c>
      <c r="F270" s="18">
        <v>14</v>
      </c>
      <c r="G270" s="18">
        <v>2</v>
      </c>
      <c r="H270" s="18">
        <v>2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f t="shared" si="12"/>
        <v>6</v>
      </c>
      <c r="P270" s="18">
        <f t="shared" si="13"/>
        <v>16</v>
      </c>
      <c r="Q270" s="18">
        <f t="shared" si="14"/>
        <v>2</v>
      </c>
      <c r="R270" s="18">
        <v>0</v>
      </c>
      <c r="S270" s="18">
        <v>12</v>
      </c>
    </row>
    <row r="271" spans="1:19" x14ac:dyDescent="0.25">
      <c r="A271" s="18" t="s">
        <v>42</v>
      </c>
      <c r="B271" s="18">
        <v>24</v>
      </c>
      <c r="C271" s="18" t="s">
        <v>28</v>
      </c>
      <c r="D271" s="18">
        <v>2025</v>
      </c>
      <c r="E271" s="18">
        <v>6</v>
      </c>
      <c r="F271" s="18">
        <v>14</v>
      </c>
      <c r="G271" s="18">
        <v>2</v>
      </c>
      <c r="H271" s="18">
        <v>2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f t="shared" si="12"/>
        <v>6</v>
      </c>
      <c r="P271" s="18">
        <f t="shared" si="13"/>
        <v>16</v>
      </c>
      <c r="Q271" s="18">
        <f t="shared" si="14"/>
        <v>2</v>
      </c>
      <c r="R271" s="18">
        <v>0</v>
      </c>
      <c r="S271" s="18">
        <v>12</v>
      </c>
    </row>
    <row r="272" spans="1:19" x14ac:dyDescent="0.25">
      <c r="A272" s="18" t="s">
        <v>43</v>
      </c>
      <c r="B272" s="18">
        <v>25</v>
      </c>
      <c r="C272" s="18" t="s">
        <v>28</v>
      </c>
      <c r="D272" s="18">
        <v>2025</v>
      </c>
      <c r="E272" s="18">
        <v>6</v>
      </c>
      <c r="F272" s="18">
        <v>14</v>
      </c>
      <c r="G272" s="18">
        <v>2</v>
      </c>
      <c r="H272" s="18">
        <v>2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f t="shared" si="12"/>
        <v>6</v>
      </c>
      <c r="P272" s="18">
        <f t="shared" si="13"/>
        <v>16</v>
      </c>
      <c r="Q272" s="18">
        <f t="shared" si="14"/>
        <v>2</v>
      </c>
      <c r="R272" s="18">
        <v>0</v>
      </c>
      <c r="S272" s="18">
        <v>12</v>
      </c>
    </row>
    <row r="273" spans="1:19" x14ac:dyDescent="0.25">
      <c r="A273" s="18" t="s">
        <v>44</v>
      </c>
      <c r="B273" s="18">
        <v>26</v>
      </c>
      <c r="C273" s="18" t="s">
        <v>28</v>
      </c>
      <c r="D273" s="18">
        <v>2025</v>
      </c>
      <c r="E273" s="18">
        <v>6</v>
      </c>
      <c r="F273" s="18">
        <v>14</v>
      </c>
      <c r="G273" s="18">
        <v>2</v>
      </c>
      <c r="H273" s="18">
        <v>2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f t="shared" si="12"/>
        <v>6</v>
      </c>
      <c r="P273" s="18">
        <f t="shared" si="13"/>
        <v>16</v>
      </c>
      <c r="Q273" s="18">
        <f t="shared" si="14"/>
        <v>2</v>
      </c>
      <c r="R273" s="18">
        <v>0</v>
      </c>
      <c r="S273" s="18">
        <v>12</v>
      </c>
    </row>
    <row r="274" spans="1:19" x14ac:dyDescent="0.25">
      <c r="A274" s="18" t="s">
        <v>36</v>
      </c>
      <c r="B274" s="18">
        <v>27</v>
      </c>
      <c r="C274" s="18" t="s">
        <v>28</v>
      </c>
      <c r="D274" s="18">
        <v>2025</v>
      </c>
      <c r="E274" s="18">
        <v>0</v>
      </c>
      <c r="F274" s="18">
        <v>0</v>
      </c>
      <c r="G274" s="18">
        <v>0</v>
      </c>
      <c r="H274" s="18">
        <v>0</v>
      </c>
      <c r="I274" s="18">
        <v>7</v>
      </c>
      <c r="J274" s="18">
        <v>17</v>
      </c>
      <c r="K274" s="18">
        <v>0</v>
      </c>
      <c r="L274" s="18">
        <v>0</v>
      </c>
      <c r="M274" s="18">
        <v>0</v>
      </c>
      <c r="N274" s="18">
        <v>0</v>
      </c>
      <c r="O274" s="18">
        <f t="shared" si="12"/>
        <v>7</v>
      </c>
      <c r="P274" s="18">
        <f t="shared" si="13"/>
        <v>17</v>
      </c>
      <c r="Q274" s="18">
        <f t="shared" si="14"/>
        <v>0</v>
      </c>
      <c r="R274" s="18">
        <v>0</v>
      </c>
      <c r="S274" s="18">
        <v>12</v>
      </c>
    </row>
    <row r="275" spans="1:19" x14ac:dyDescent="0.25">
      <c r="A275" s="18" t="s">
        <v>45</v>
      </c>
      <c r="B275" s="18">
        <v>28</v>
      </c>
      <c r="C275" s="18" t="s">
        <v>28</v>
      </c>
      <c r="D275" s="18">
        <v>2025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19</v>
      </c>
      <c r="N275" s="18">
        <v>5</v>
      </c>
      <c r="O275" s="18">
        <f t="shared" si="12"/>
        <v>19</v>
      </c>
      <c r="P275" s="18">
        <f t="shared" si="13"/>
        <v>5</v>
      </c>
      <c r="Q275" s="18">
        <f t="shared" si="14"/>
        <v>0</v>
      </c>
      <c r="R275" s="18">
        <v>12</v>
      </c>
      <c r="S275" s="18">
        <v>0</v>
      </c>
    </row>
    <row r="276" spans="1:19" x14ac:dyDescent="0.25">
      <c r="A276" s="18" t="s">
        <v>46</v>
      </c>
      <c r="B276" s="18">
        <v>29</v>
      </c>
      <c r="C276" s="18" t="s">
        <v>28</v>
      </c>
      <c r="D276" s="18">
        <v>2025</v>
      </c>
      <c r="E276" s="18">
        <v>6</v>
      </c>
      <c r="F276" s="18">
        <v>14</v>
      </c>
      <c r="G276" s="18">
        <v>2</v>
      </c>
      <c r="H276" s="18">
        <v>2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f t="shared" si="12"/>
        <v>6</v>
      </c>
      <c r="P276" s="18">
        <f t="shared" si="13"/>
        <v>16</v>
      </c>
      <c r="Q276" s="18">
        <f t="shared" si="14"/>
        <v>2</v>
      </c>
      <c r="R276" s="18">
        <v>0</v>
      </c>
      <c r="S276" s="18">
        <v>12</v>
      </c>
    </row>
    <row r="277" spans="1:19" x14ac:dyDescent="0.25">
      <c r="A277" s="18" t="s">
        <v>47</v>
      </c>
      <c r="B277" s="18">
        <v>30</v>
      </c>
      <c r="C277" s="18" t="s">
        <v>28</v>
      </c>
      <c r="D277" s="18">
        <v>2025</v>
      </c>
      <c r="E277" s="18">
        <v>6</v>
      </c>
      <c r="F277" s="18">
        <v>14</v>
      </c>
      <c r="G277" s="18">
        <v>2</v>
      </c>
      <c r="H277" s="18">
        <v>2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f t="shared" si="12"/>
        <v>6</v>
      </c>
      <c r="P277" s="18">
        <f t="shared" si="13"/>
        <v>16</v>
      </c>
      <c r="Q277" s="18">
        <f t="shared" si="14"/>
        <v>2</v>
      </c>
      <c r="R277" s="18">
        <v>0</v>
      </c>
      <c r="S277" s="18">
        <v>12</v>
      </c>
    </row>
    <row r="278" spans="1:19" x14ac:dyDescent="0.25">
      <c r="A278" s="19" t="s">
        <v>42</v>
      </c>
      <c r="B278" s="19">
        <v>1</v>
      </c>
      <c r="C278" s="19" t="s">
        <v>29</v>
      </c>
      <c r="D278" s="19">
        <v>2025</v>
      </c>
      <c r="E278" s="19">
        <v>6</v>
      </c>
      <c r="F278" s="19">
        <v>14</v>
      </c>
      <c r="G278" s="19">
        <v>2</v>
      </c>
      <c r="H278" s="19">
        <v>2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f t="shared" si="12"/>
        <v>6</v>
      </c>
      <c r="P278" s="19">
        <f t="shared" si="13"/>
        <v>16</v>
      </c>
      <c r="Q278" s="19">
        <f t="shared" si="14"/>
        <v>2</v>
      </c>
      <c r="R278" s="19">
        <v>0</v>
      </c>
      <c r="S278" s="19">
        <v>12</v>
      </c>
    </row>
    <row r="279" spans="1:19" x14ac:dyDescent="0.25">
      <c r="A279" s="19" t="s">
        <v>43</v>
      </c>
      <c r="B279" s="19">
        <v>2</v>
      </c>
      <c r="C279" s="19" t="s">
        <v>29</v>
      </c>
      <c r="D279" s="19">
        <v>2025</v>
      </c>
      <c r="E279" s="19">
        <v>6</v>
      </c>
      <c r="F279" s="19">
        <v>14</v>
      </c>
      <c r="G279" s="19">
        <v>2</v>
      </c>
      <c r="H279" s="19">
        <v>2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f t="shared" si="12"/>
        <v>6</v>
      </c>
      <c r="P279" s="19">
        <f t="shared" si="13"/>
        <v>16</v>
      </c>
      <c r="Q279" s="19">
        <f t="shared" si="14"/>
        <v>2</v>
      </c>
      <c r="R279" s="19">
        <v>0</v>
      </c>
      <c r="S279" s="19">
        <v>12</v>
      </c>
    </row>
    <row r="280" spans="1:19" x14ac:dyDescent="0.25">
      <c r="A280" s="19" t="s">
        <v>44</v>
      </c>
      <c r="B280" s="19">
        <v>3</v>
      </c>
      <c r="C280" s="19" t="s">
        <v>29</v>
      </c>
      <c r="D280" s="19">
        <v>2025</v>
      </c>
      <c r="E280" s="19">
        <v>6</v>
      </c>
      <c r="F280" s="19">
        <v>14</v>
      </c>
      <c r="G280" s="19">
        <v>2</v>
      </c>
      <c r="H280" s="19">
        <v>2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f t="shared" si="12"/>
        <v>6</v>
      </c>
      <c r="P280" s="19">
        <f t="shared" si="13"/>
        <v>16</v>
      </c>
      <c r="Q280" s="19">
        <f t="shared" si="14"/>
        <v>2</v>
      </c>
      <c r="R280" s="19">
        <v>0</v>
      </c>
      <c r="S280" s="19">
        <v>12</v>
      </c>
    </row>
    <row r="281" spans="1:19" x14ac:dyDescent="0.25">
      <c r="A281" s="19" t="s">
        <v>36</v>
      </c>
      <c r="B281" s="19">
        <v>4</v>
      </c>
      <c r="C281" s="19" t="s">
        <v>29</v>
      </c>
      <c r="D281" s="19">
        <v>2025</v>
      </c>
      <c r="E281" s="19">
        <v>0</v>
      </c>
      <c r="F281" s="19">
        <v>0</v>
      </c>
      <c r="G281" s="19">
        <v>0</v>
      </c>
      <c r="H281" s="19">
        <v>0</v>
      </c>
      <c r="I281" s="19">
        <v>7</v>
      </c>
      <c r="J281" s="19">
        <v>17</v>
      </c>
      <c r="K281" s="19">
        <v>0</v>
      </c>
      <c r="L281" s="19">
        <v>0</v>
      </c>
      <c r="M281" s="19">
        <v>0</v>
      </c>
      <c r="N281" s="19">
        <v>0</v>
      </c>
      <c r="O281" s="19">
        <f t="shared" si="12"/>
        <v>7</v>
      </c>
      <c r="P281" s="19">
        <f t="shared" si="13"/>
        <v>17</v>
      </c>
      <c r="Q281" s="19">
        <f t="shared" si="14"/>
        <v>0</v>
      </c>
      <c r="R281" s="19">
        <v>0</v>
      </c>
      <c r="S281" s="19">
        <v>12</v>
      </c>
    </row>
    <row r="282" spans="1:19" x14ac:dyDescent="0.25">
      <c r="A282" s="19" t="s">
        <v>45</v>
      </c>
      <c r="B282" s="19">
        <v>5</v>
      </c>
      <c r="C282" s="19" t="s">
        <v>29</v>
      </c>
      <c r="D282" s="19">
        <v>2025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19</v>
      </c>
      <c r="N282" s="19">
        <v>5</v>
      </c>
      <c r="O282" s="19">
        <f t="shared" si="12"/>
        <v>19</v>
      </c>
      <c r="P282" s="19">
        <f t="shared" si="13"/>
        <v>5</v>
      </c>
      <c r="Q282" s="19">
        <f t="shared" si="14"/>
        <v>0</v>
      </c>
      <c r="R282" s="19">
        <v>12</v>
      </c>
      <c r="S282" s="19">
        <v>0</v>
      </c>
    </row>
    <row r="283" spans="1:19" x14ac:dyDescent="0.25">
      <c r="A283" s="19" t="s">
        <v>46</v>
      </c>
      <c r="B283" s="19">
        <v>6</v>
      </c>
      <c r="C283" s="19" t="s">
        <v>29</v>
      </c>
      <c r="D283" s="19">
        <v>2025</v>
      </c>
      <c r="E283" s="19">
        <v>6</v>
      </c>
      <c r="F283" s="19">
        <v>14</v>
      </c>
      <c r="G283" s="19">
        <v>2</v>
      </c>
      <c r="H283" s="19">
        <v>2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f t="shared" si="12"/>
        <v>6</v>
      </c>
      <c r="P283" s="19">
        <f t="shared" si="13"/>
        <v>16</v>
      </c>
      <c r="Q283" s="19">
        <f t="shared" si="14"/>
        <v>2</v>
      </c>
      <c r="R283" s="19">
        <v>0</v>
      </c>
      <c r="S283" s="19">
        <v>12</v>
      </c>
    </row>
    <row r="284" spans="1:19" x14ac:dyDescent="0.25">
      <c r="A284" s="19" t="s">
        <v>47</v>
      </c>
      <c r="B284" s="19">
        <v>7</v>
      </c>
      <c r="C284" s="19" t="s">
        <v>29</v>
      </c>
      <c r="D284" s="19">
        <v>2025</v>
      </c>
      <c r="E284" s="19">
        <v>6</v>
      </c>
      <c r="F284" s="19">
        <v>14</v>
      </c>
      <c r="G284" s="19">
        <v>2</v>
      </c>
      <c r="H284" s="19">
        <v>2</v>
      </c>
      <c r="I284" s="19">
        <v>0</v>
      </c>
      <c r="J284" s="19">
        <v>0</v>
      </c>
      <c r="K284" s="19">
        <v>0</v>
      </c>
      <c r="L284" s="19">
        <v>0</v>
      </c>
      <c r="M284" s="19">
        <v>0</v>
      </c>
      <c r="N284" s="19">
        <v>0</v>
      </c>
      <c r="O284" s="19">
        <f t="shared" si="12"/>
        <v>6</v>
      </c>
      <c r="P284" s="19">
        <f t="shared" si="13"/>
        <v>16</v>
      </c>
      <c r="Q284" s="19">
        <f t="shared" si="14"/>
        <v>2</v>
      </c>
      <c r="R284" s="19">
        <v>0</v>
      </c>
      <c r="S284" s="19">
        <v>12</v>
      </c>
    </row>
    <row r="285" spans="1:19" x14ac:dyDescent="0.25">
      <c r="A285" s="19" t="s">
        <v>42</v>
      </c>
      <c r="B285" s="19">
        <v>8</v>
      </c>
      <c r="C285" s="19" t="s">
        <v>29</v>
      </c>
      <c r="D285" s="19">
        <v>2025</v>
      </c>
      <c r="E285" s="19">
        <v>6</v>
      </c>
      <c r="F285" s="19">
        <v>14</v>
      </c>
      <c r="G285" s="19">
        <v>2</v>
      </c>
      <c r="H285" s="19">
        <v>2</v>
      </c>
      <c r="I285" s="19">
        <v>0</v>
      </c>
      <c r="J285" s="19">
        <v>0</v>
      </c>
      <c r="K285" s="19">
        <v>0</v>
      </c>
      <c r="L285" s="19">
        <v>0</v>
      </c>
      <c r="M285" s="19">
        <v>0</v>
      </c>
      <c r="N285" s="19">
        <v>0</v>
      </c>
      <c r="O285" s="19">
        <f t="shared" si="12"/>
        <v>6</v>
      </c>
      <c r="P285" s="19">
        <f t="shared" si="13"/>
        <v>16</v>
      </c>
      <c r="Q285" s="19">
        <f t="shared" si="14"/>
        <v>2</v>
      </c>
      <c r="R285" s="19">
        <v>0</v>
      </c>
      <c r="S285" s="19">
        <v>12</v>
      </c>
    </row>
    <row r="286" spans="1:19" x14ac:dyDescent="0.25">
      <c r="A286" s="19" t="s">
        <v>43</v>
      </c>
      <c r="B286" s="19">
        <v>9</v>
      </c>
      <c r="C286" s="19" t="s">
        <v>29</v>
      </c>
      <c r="D286" s="19">
        <v>2025</v>
      </c>
      <c r="E286" s="19">
        <v>6</v>
      </c>
      <c r="F286" s="19">
        <v>14</v>
      </c>
      <c r="G286" s="19">
        <v>2</v>
      </c>
      <c r="H286" s="19">
        <v>2</v>
      </c>
      <c r="I286" s="19">
        <v>0</v>
      </c>
      <c r="J286" s="19">
        <v>0</v>
      </c>
      <c r="K286" s="19">
        <v>0</v>
      </c>
      <c r="L286" s="19">
        <v>0</v>
      </c>
      <c r="M286" s="19">
        <v>0</v>
      </c>
      <c r="N286" s="19">
        <v>0</v>
      </c>
      <c r="O286" s="19">
        <f t="shared" si="12"/>
        <v>6</v>
      </c>
      <c r="P286" s="19">
        <f t="shared" si="13"/>
        <v>16</v>
      </c>
      <c r="Q286" s="19">
        <f t="shared" si="14"/>
        <v>2</v>
      </c>
      <c r="R286" s="19">
        <v>0</v>
      </c>
      <c r="S286" s="19">
        <v>12</v>
      </c>
    </row>
    <row r="287" spans="1:19" x14ac:dyDescent="0.25">
      <c r="A287" s="19" t="s">
        <v>44</v>
      </c>
      <c r="B287" s="19">
        <v>10</v>
      </c>
      <c r="C287" s="19" t="s">
        <v>29</v>
      </c>
      <c r="D287" s="19">
        <v>2025</v>
      </c>
      <c r="E287" s="19">
        <v>6</v>
      </c>
      <c r="F287" s="19">
        <v>14</v>
      </c>
      <c r="G287" s="19">
        <v>2</v>
      </c>
      <c r="H287" s="19">
        <v>2</v>
      </c>
      <c r="I287" s="19">
        <v>0</v>
      </c>
      <c r="J287" s="19">
        <v>0</v>
      </c>
      <c r="K287" s="19">
        <v>0</v>
      </c>
      <c r="L287" s="19">
        <v>0</v>
      </c>
      <c r="M287" s="19">
        <v>0</v>
      </c>
      <c r="N287" s="19">
        <v>0</v>
      </c>
      <c r="O287" s="19">
        <f t="shared" si="12"/>
        <v>6</v>
      </c>
      <c r="P287" s="19">
        <f t="shared" si="13"/>
        <v>16</v>
      </c>
      <c r="Q287" s="19">
        <f t="shared" si="14"/>
        <v>2</v>
      </c>
      <c r="R287" s="19">
        <v>0</v>
      </c>
      <c r="S287" s="19">
        <v>12</v>
      </c>
    </row>
    <row r="288" spans="1:19" x14ac:dyDescent="0.25">
      <c r="A288" s="19" t="s">
        <v>36</v>
      </c>
      <c r="B288" s="19">
        <v>11</v>
      </c>
      <c r="C288" s="19" t="s">
        <v>29</v>
      </c>
      <c r="D288" s="19">
        <v>2025</v>
      </c>
      <c r="E288" s="19">
        <v>0</v>
      </c>
      <c r="F288" s="19">
        <v>0</v>
      </c>
      <c r="G288" s="19">
        <v>0</v>
      </c>
      <c r="H288" s="19">
        <v>0</v>
      </c>
      <c r="I288" s="19">
        <v>7</v>
      </c>
      <c r="J288" s="19">
        <v>17</v>
      </c>
      <c r="K288" s="19">
        <v>0</v>
      </c>
      <c r="L288" s="19">
        <v>0</v>
      </c>
      <c r="M288" s="19">
        <v>0</v>
      </c>
      <c r="N288" s="19">
        <v>0</v>
      </c>
      <c r="O288" s="19">
        <f t="shared" si="12"/>
        <v>7</v>
      </c>
      <c r="P288" s="19">
        <f t="shared" si="13"/>
        <v>17</v>
      </c>
      <c r="Q288" s="19">
        <f t="shared" si="14"/>
        <v>0</v>
      </c>
      <c r="R288" s="19">
        <v>0</v>
      </c>
      <c r="S288" s="19">
        <v>12</v>
      </c>
    </row>
    <row r="289" spans="1:19" x14ac:dyDescent="0.25">
      <c r="A289" s="19" t="s">
        <v>45</v>
      </c>
      <c r="B289" s="19">
        <v>12</v>
      </c>
      <c r="C289" s="19" t="s">
        <v>29</v>
      </c>
      <c r="D289" s="19">
        <v>2025</v>
      </c>
      <c r="E289" s="19">
        <v>0</v>
      </c>
      <c r="F289" s="19">
        <v>0</v>
      </c>
      <c r="G289" s="19">
        <v>0</v>
      </c>
      <c r="H289" s="19">
        <v>0</v>
      </c>
      <c r="I289" s="19">
        <v>0</v>
      </c>
      <c r="J289" s="19">
        <v>0</v>
      </c>
      <c r="K289" s="19">
        <v>0</v>
      </c>
      <c r="L289" s="19">
        <v>0</v>
      </c>
      <c r="M289" s="19">
        <v>19</v>
      </c>
      <c r="N289" s="19">
        <v>5</v>
      </c>
      <c r="O289" s="19">
        <f t="shared" si="12"/>
        <v>19</v>
      </c>
      <c r="P289" s="19">
        <f t="shared" si="13"/>
        <v>5</v>
      </c>
      <c r="Q289" s="19">
        <f t="shared" si="14"/>
        <v>0</v>
      </c>
      <c r="R289" s="19">
        <v>12</v>
      </c>
      <c r="S289" s="19">
        <v>0</v>
      </c>
    </row>
    <row r="290" spans="1:19" x14ac:dyDescent="0.25">
      <c r="A290" s="19" t="s">
        <v>46</v>
      </c>
      <c r="B290" s="19">
        <v>13</v>
      </c>
      <c r="C290" s="19" t="s">
        <v>29</v>
      </c>
      <c r="D290" s="19">
        <v>2025</v>
      </c>
      <c r="E290" s="19">
        <v>6</v>
      </c>
      <c r="F290" s="19">
        <v>14</v>
      </c>
      <c r="G290" s="19">
        <v>2</v>
      </c>
      <c r="H290" s="19">
        <v>2</v>
      </c>
      <c r="I290" s="19">
        <v>0</v>
      </c>
      <c r="J290" s="19">
        <v>0</v>
      </c>
      <c r="K290" s="19">
        <v>0</v>
      </c>
      <c r="L290" s="19">
        <v>0</v>
      </c>
      <c r="M290" s="19">
        <v>0</v>
      </c>
      <c r="N290" s="19">
        <v>0</v>
      </c>
      <c r="O290" s="19">
        <f t="shared" si="12"/>
        <v>6</v>
      </c>
      <c r="P290" s="19">
        <f t="shared" si="13"/>
        <v>16</v>
      </c>
      <c r="Q290" s="19">
        <f t="shared" si="14"/>
        <v>2</v>
      </c>
      <c r="R290" s="19">
        <v>0</v>
      </c>
      <c r="S290" s="19">
        <v>12</v>
      </c>
    </row>
    <row r="291" spans="1:19" x14ac:dyDescent="0.25">
      <c r="A291" s="19" t="s">
        <v>47</v>
      </c>
      <c r="B291" s="19">
        <v>14</v>
      </c>
      <c r="C291" s="19" t="s">
        <v>29</v>
      </c>
      <c r="D291" s="19">
        <v>2025</v>
      </c>
      <c r="E291" s="19">
        <v>6</v>
      </c>
      <c r="F291" s="19">
        <v>14</v>
      </c>
      <c r="G291" s="19">
        <v>2</v>
      </c>
      <c r="H291" s="19">
        <v>2</v>
      </c>
      <c r="I291" s="19">
        <v>0</v>
      </c>
      <c r="J291" s="19">
        <v>0</v>
      </c>
      <c r="K291" s="19">
        <v>0</v>
      </c>
      <c r="L291" s="19">
        <v>0</v>
      </c>
      <c r="M291" s="19">
        <v>0</v>
      </c>
      <c r="N291" s="19">
        <v>0</v>
      </c>
      <c r="O291" s="19">
        <f t="shared" si="12"/>
        <v>6</v>
      </c>
      <c r="P291" s="19">
        <f t="shared" si="13"/>
        <v>16</v>
      </c>
      <c r="Q291" s="19">
        <f t="shared" si="14"/>
        <v>2</v>
      </c>
      <c r="R291" s="19">
        <v>0</v>
      </c>
      <c r="S291" s="19">
        <v>12</v>
      </c>
    </row>
    <row r="292" spans="1:19" x14ac:dyDescent="0.25">
      <c r="A292" s="19" t="s">
        <v>42</v>
      </c>
      <c r="B292" s="19">
        <v>15</v>
      </c>
      <c r="C292" s="19" t="s">
        <v>29</v>
      </c>
      <c r="D292" s="19">
        <v>2025</v>
      </c>
      <c r="E292" s="19">
        <v>6</v>
      </c>
      <c r="F292" s="19">
        <v>14</v>
      </c>
      <c r="G292" s="19">
        <v>2</v>
      </c>
      <c r="H292" s="19">
        <v>2</v>
      </c>
      <c r="I292" s="19">
        <v>0</v>
      </c>
      <c r="J292" s="19">
        <v>0</v>
      </c>
      <c r="K292" s="19">
        <v>0</v>
      </c>
      <c r="L292" s="19">
        <v>0</v>
      </c>
      <c r="M292" s="19">
        <v>0</v>
      </c>
      <c r="N292" s="19">
        <v>0</v>
      </c>
      <c r="O292" s="19">
        <f t="shared" si="12"/>
        <v>6</v>
      </c>
      <c r="P292" s="19">
        <f t="shared" si="13"/>
        <v>16</v>
      </c>
      <c r="Q292" s="19">
        <f t="shared" si="14"/>
        <v>2</v>
      </c>
      <c r="R292" s="19">
        <v>0</v>
      </c>
      <c r="S292" s="19">
        <v>12</v>
      </c>
    </row>
    <row r="293" spans="1:19" x14ac:dyDescent="0.25">
      <c r="A293" s="19" t="s">
        <v>43</v>
      </c>
      <c r="B293" s="19">
        <v>16</v>
      </c>
      <c r="C293" s="19" t="s">
        <v>29</v>
      </c>
      <c r="D293" s="19">
        <v>2025</v>
      </c>
      <c r="E293" s="19">
        <v>6</v>
      </c>
      <c r="F293" s="19">
        <v>14</v>
      </c>
      <c r="G293" s="19">
        <v>2</v>
      </c>
      <c r="H293" s="19">
        <v>2</v>
      </c>
      <c r="I293" s="19">
        <v>0</v>
      </c>
      <c r="J293" s="19">
        <v>0</v>
      </c>
      <c r="K293" s="19">
        <v>0</v>
      </c>
      <c r="L293" s="19">
        <v>0</v>
      </c>
      <c r="M293" s="19">
        <v>0</v>
      </c>
      <c r="N293" s="19">
        <v>0</v>
      </c>
      <c r="O293" s="19">
        <f t="shared" si="12"/>
        <v>6</v>
      </c>
      <c r="P293" s="19">
        <f t="shared" si="13"/>
        <v>16</v>
      </c>
      <c r="Q293" s="19">
        <f t="shared" si="14"/>
        <v>2</v>
      </c>
      <c r="R293" s="19">
        <v>0</v>
      </c>
      <c r="S293" s="19">
        <v>12</v>
      </c>
    </row>
    <row r="294" spans="1:19" x14ac:dyDescent="0.25">
      <c r="A294" s="19" t="s">
        <v>44</v>
      </c>
      <c r="B294" s="19">
        <v>17</v>
      </c>
      <c r="C294" s="19" t="s">
        <v>29</v>
      </c>
      <c r="D294" s="19">
        <v>2025</v>
      </c>
      <c r="E294" s="19">
        <v>6</v>
      </c>
      <c r="F294" s="19">
        <v>14</v>
      </c>
      <c r="G294" s="19">
        <v>2</v>
      </c>
      <c r="H294" s="19">
        <v>2</v>
      </c>
      <c r="I294" s="19">
        <v>0</v>
      </c>
      <c r="J294" s="19">
        <v>0</v>
      </c>
      <c r="K294" s="19">
        <v>0</v>
      </c>
      <c r="L294" s="19">
        <v>0</v>
      </c>
      <c r="M294" s="19">
        <v>0</v>
      </c>
      <c r="N294" s="19">
        <v>0</v>
      </c>
      <c r="O294" s="19">
        <f t="shared" si="12"/>
        <v>6</v>
      </c>
      <c r="P294" s="19">
        <f t="shared" si="13"/>
        <v>16</v>
      </c>
      <c r="Q294" s="19">
        <f t="shared" si="14"/>
        <v>2</v>
      </c>
      <c r="R294" s="19">
        <v>0</v>
      </c>
      <c r="S294" s="19">
        <v>12</v>
      </c>
    </row>
    <row r="295" spans="1:19" x14ac:dyDescent="0.25">
      <c r="A295" s="19" t="s">
        <v>36</v>
      </c>
      <c r="B295" s="19">
        <v>18</v>
      </c>
      <c r="C295" s="19" t="s">
        <v>29</v>
      </c>
      <c r="D295" s="19">
        <v>2025</v>
      </c>
      <c r="E295" s="19">
        <v>0</v>
      </c>
      <c r="F295" s="19">
        <v>0</v>
      </c>
      <c r="G295" s="19">
        <v>0</v>
      </c>
      <c r="H295" s="19">
        <v>0</v>
      </c>
      <c r="I295" s="19">
        <v>7</v>
      </c>
      <c r="J295" s="19">
        <v>17</v>
      </c>
      <c r="K295" s="19">
        <v>0</v>
      </c>
      <c r="L295" s="19">
        <v>0</v>
      </c>
      <c r="M295" s="19">
        <v>0</v>
      </c>
      <c r="N295" s="19">
        <v>0</v>
      </c>
      <c r="O295" s="19">
        <f t="shared" si="12"/>
        <v>7</v>
      </c>
      <c r="P295" s="19">
        <f t="shared" si="13"/>
        <v>17</v>
      </c>
      <c r="Q295" s="19">
        <f t="shared" si="14"/>
        <v>0</v>
      </c>
      <c r="R295" s="19">
        <v>0</v>
      </c>
      <c r="S295" s="19">
        <v>12</v>
      </c>
    </row>
    <row r="296" spans="1:19" x14ac:dyDescent="0.25">
      <c r="A296" s="19" t="s">
        <v>45</v>
      </c>
      <c r="B296" s="19">
        <v>19</v>
      </c>
      <c r="C296" s="19" t="s">
        <v>29</v>
      </c>
      <c r="D296" s="19">
        <v>2025</v>
      </c>
      <c r="E296" s="19">
        <v>0</v>
      </c>
      <c r="F296" s="19">
        <v>0</v>
      </c>
      <c r="G296" s="19">
        <v>0</v>
      </c>
      <c r="H296" s="19">
        <v>0</v>
      </c>
      <c r="I296" s="19">
        <v>0</v>
      </c>
      <c r="J296" s="19">
        <v>0</v>
      </c>
      <c r="K296" s="19">
        <v>0</v>
      </c>
      <c r="L296" s="19">
        <v>0</v>
      </c>
      <c r="M296" s="19">
        <v>19</v>
      </c>
      <c r="N296" s="19">
        <v>5</v>
      </c>
      <c r="O296" s="19">
        <f t="shared" si="12"/>
        <v>19</v>
      </c>
      <c r="P296" s="19">
        <f t="shared" si="13"/>
        <v>5</v>
      </c>
      <c r="Q296" s="19">
        <f t="shared" si="14"/>
        <v>0</v>
      </c>
      <c r="R296" s="19">
        <v>12</v>
      </c>
      <c r="S296" s="19">
        <v>0</v>
      </c>
    </row>
    <row r="297" spans="1:19" x14ac:dyDescent="0.25">
      <c r="A297" s="19" t="s">
        <v>46</v>
      </c>
      <c r="B297" s="19">
        <v>20</v>
      </c>
      <c r="C297" s="19" t="s">
        <v>29</v>
      </c>
      <c r="D297" s="19">
        <v>2025</v>
      </c>
      <c r="E297" s="19">
        <v>6</v>
      </c>
      <c r="F297" s="19">
        <v>14</v>
      </c>
      <c r="G297" s="19">
        <v>2</v>
      </c>
      <c r="H297" s="19">
        <v>2</v>
      </c>
      <c r="I297" s="19">
        <v>0</v>
      </c>
      <c r="J297" s="19">
        <v>0</v>
      </c>
      <c r="K297" s="19">
        <v>0</v>
      </c>
      <c r="L297" s="19">
        <v>0</v>
      </c>
      <c r="M297" s="19">
        <v>0</v>
      </c>
      <c r="N297" s="19">
        <v>0</v>
      </c>
      <c r="O297" s="19">
        <f t="shared" si="12"/>
        <v>6</v>
      </c>
      <c r="P297" s="19">
        <f t="shared" si="13"/>
        <v>16</v>
      </c>
      <c r="Q297" s="19">
        <f t="shared" si="14"/>
        <v>2</v>
      </c>
      <c r="R297" s="19">
        <v>0</v>
      </c>
      <c r="S297" s="19">
        <v>12</v>
      </c>
    </row>
    <row r="298" spans="1:19" x14ac:dyDescent="0.25">
      <c r="A298" s="19" t="s">
        <v>47</v>
      </c>
      <c r="B298" s="19">
        <v>21</v>
      </c>
      <c r="C298" s="19" t="s">
        <v>29</v>
      </c>
      <c r="D298" s="19">
        <v>2025</v>
      </c>
      <c r="E298" s="19">
        <v>6</v>
      </c>
      <c r="F298" s="19">
        <v>14</v>
      </c>
      <c r="G298" s="19">
        <v>2</v>
      </c>
      <c r="H298" s="19">
        <v>2</v>
      </c>
      <c r="I298" s="19">
        <v>0</v>
      </c>
      <c r="J298" s="19">
        <v>0</v>
      </c>
      <c r="K298" s="19">
        <v>0</v>
      </c>
      <c r="L298" s="19">
        <v>0</v>
      </c>
      <c r="M298" s="19">
        <v>0</v>
      </c>
      <c r="N298" s="19">
        <v>0</v>
      </c>
      <c r="O298" s="19">
        <f t="shared" si="12"/>
        <v>6</v>
      </c>
      <c r="P298" s="19">
        <f t="shared" si="13"/>
        <v>16</v>
      </c>
      <c r="Q298" s="19">
        <f t="shared" si="14"/>
        <v>2</v>
      </c>
      <c r="R298" s="19">
        <v>0</v>
      </c>
      <c r="S298" s="19">
        <v>12</v>
      </c>
    </row>
    <row r="299" spans="1:19" x14ac:dyDescent="0.25">
      <c r="A299" s="19" t="s">
        <v>42</v>
      </c>
      <c r="B299" s="19">
        <v>22</v>
      </c>
      <c r="C299" s="19" t="s">
        <v>29</v>
      </c>
      <c r="D299" s="19">
        <v>2025</v>
      </c>
      <c r="E299" s="19">
        <v>6</v>
      </c>
      <c r="F299" s="19">
        <v>14</v>
      </c>
      <c r="G299" s="19">
        <v>2</v>
      </c>
      <c r="H299" s="19">
        <v>2</v>
      </c>
      <c r="I299" s="19">
        <v>0</v>
      </c>
      <c r="J299" s="19">
        <v>0</v>
      </c>
      <c r="K299" s="19">
        <v>0</v>
      </c>
      <c r="L299" s="19">
        <v>0</v>
      </c>
      <c r="M299" s="19">
        <v>0</v>
      </c>
      <c r="N299" s="19">
        <v>0</v>
      </c>
      <c r="O299" s="19">
        <f t="shared" si="12"/>
        <v>6</v>
      </c>
      <c r="P299" s="19">
        <f t="shared" si="13"/>
        <v>16</v>
      </c>
      <c r="Q299" s="19">
        <f t="shared" si="14"/>
        <v>2</v>
      </c>
      <c r="R299" s="19">
        <v>0</v>
      </c>
      <c r="S299" s="19">
        <v>12</v>
      </c>
    </row>
    <row r="300" spans="1:19" x14ac:dyDescent="0.25">
      <c r="A300" s="19" t="s">
        <v>43</v>
      </c>
      <c r="B300" s="19">
        <v>23</v>
      </c>
      <c r="C300" s="19" t="s">
        <v>29</v>
      </c>
      <c r="D300" s="19">
        <v>2025</v>
      </c>
      <c r="E300" s="19">
        <v>6</v>
      </c>
      <c r="F300" s="19">
        <v>14</v>
      </c>
      <c r="G300" s="19">
        <v>2</v>
      </c>
      <c r="H300" s="19">
        <v>2</v>
      </c>
      <c r="I300" s="19">
        <v>0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f t="shared" si="12"/>
        <v>6</v>
      </c>
      <c r="P300" s="19">
        <f t="shared" si="13"/>
        <v>16</v>
      </c>
      <c r="Q300" s="19">
        <f t="shared" si="14"/>
        <v>2</v>
      </c>
      <c r="R300" s="19">
        <v>0</v>
      </c>
      <c r="S300" s="19">
        <v>12</v>
      </c>
    </row>
    <row r="301" spans="1:19" x14ac:dyDescent="0.25">
      <c r="A301" s="19" t="s">
        <v>44</v>
      </c>
      <c r="B301" s="19">
        <v>24</v>
      </c>
      <c r="C301" s="19" t="s">
        <v>29</v>
      </c>
      <c r="D301" s="19">
        <v>2025</v>
      </c>
      <c r="E301" s="19">
        <v>6</v>
      </c>
      <c r="F301" s="19">
        <v>14</v>
      </c>
      <c r="G301" s="19">
        <v>2</v>
      </c>
      <c r="H301" s="19">
        <v>2</v>
      </c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f t="shared" si="12"/>
        <v>6</v>
      </c>
      <c r="P301" s="19">
        <f t="shared" si="13"/>
        <v>16</v>
      </c>
      <c r="Q301" s="19">
        <f t="shared" si="14"/>
        <v>2</v>
      </c>
      <c r="R301" s="19">
        <v>0</v>
      </c>
      <c r="S301" s="19">
        <v>12</v>
      </c>
    </row>
    <row r="302" spans="1:19" x14ac:dyDescent="0.25">
      <c r="A302" s="19" t="s">
        <v>36</v>
      </c>
      <c r="B302" s="19">
        <v>25</v>
      </c>
      <c r="C302" s="19" t="s">
        <v>29</v>
      </c>
      <c r="D302" s="19">
        <v>2025</v>
      </c>
      <c r="E302" s="19">
        <v>0</v>
      </c>
      <c r="F302" s="19">
        <v>0</v>
      </c>
      <c r="G302" s="19">
        <v>0</v>
      </c>
      <c r="H302" s="19">
        <v>0</v>
      </c>
      <c r="I302" s="19">
        <v>7</v>
      </c>
      <c r="J302" s="19">
        <v>17</v>
      </c>
      <c r="K302" s="19">
        <v>0</v>
      </c>
      <c r="L302" s="19">
        <v>0</v>
      </c>
      <c r="M302" s="19">
        <v>0</v>
      </c>
      <c r="N302" s="19">
        <v>0</v>
      </c>
      <c r="O302" s="19">
        <f t="shared" si="12"/>
        <v>7</v>
      </c>
      <c r="P302" s="19">
        <f t="shared" si="13"/>
        <v>17</v>
      </c>
      <c r="Q302" s="19">
        <f t="shared" si="14"/>
        <v>0</v>
      </c>
      <c r="R302" s="19">
        <v>0</v>
      </c>
      <c r="S302" s="19">
        <v>12</v>
      </c>
    </row>
    <row r="303" spans="1:19" x14ac:dyDescent="0.25">
      <c r="A303" s="19" t="s">
        <v>45</v>
      </c>
      <c r="B303" s="19">
        <v>26</v>
      </c>
      <c r="C303" s="19" t="s">
        <v>29</v>
      </c>
      <c r="D303" s="19">
        <v>2025</v>
      </c>
      <c r="E303" s="19">
        <v>0</v>
      </c>
      <c r="F303" s="19">
        <v>0</v>
      </c>
      <c r="G303" s="19">
        <v>0</v>
      </c>
      <c r="H303" s="19">
        <v>0</v>
      </c>
      <c r="I303" s="19">
        <v>0</v>
      </c>
      <c r="J303" s="19">
        <v>0</v>
      </c>
      <c r="K303" s="19">
        <v>0</v>
      </c>
      <c r="L303" s="19">
        <v>0</v>
      </c>
      <c r="M303" s="19">
        <v>18</v>
      </c>
      <c r="N303" s="19">
        <v>6</v>
      </c>
      <c r="O303" s="19">
        <f t="shared" si="12"/>
        <v>18</v>
      </c>
      <c r="P303" s="19">
        <f t="shared" si="13"/>
        <v>6</v>
      </c>
      <c r="Q303" s="19">
        <f t="shared" si="14"/>
        <v>0</v>
      </c>
      <c r="R303" s="19">
        <v>12</v>
      </c>
      <c r="S303" s="19">
        <v>0</v>
      </c>
    </row>
    <row r="304" spans="1:19" x14ac:dyDescent="0.25">
      <c r="A304" s="19" t="s">
        <v>46</v>
      </c>
      <c r="B304" s="19">
        <v>27</v>
      </c>
      <c r="C304" s="19" t="s">
        <v>29</v>
      </c>
      <c r="D304" s="19">
        <v>2025</v>
      </c>
      <c r="E304" s="19">
        <v>6</v>
      </c>
      <c r="F304" s="19">
        <v>12</v>
      </c>
      <c r="G304" s="19">
        <v>4</v>
      </c>
      <c r="H304" s="19">
        <v>2</v>
      </c>
      <c r="I304" s="19">
        <v>0</v>
      </c>
      <c r="J304" s="19">
        <v>0</v>
      </c>
      <c r="K304" s="19">
        <v>0</v>
      </c>
      <c r="L304" s="19">
        <v>0</v>
      </c>
      <c r="M304" s="19">
        <v>0</v>
      </c>
      <c r="N304" s="19">
        <v>0</v>
      </c>
      <c r="O304" s="19">
        <f t="shared" si="12"/>
        <v>6</v>
      </c>
      <c r="P304" s="19">
        <f t="shared" si="13"/>
        <v>14</v>
      </c>
      <c r="Q304" s="19">
        <f t="shared" si="14"/>
        <v>4</v>
      </c>
      <c r="R304" s="19">
        <v>0</v>
      </c>
      <c r="S304" s="19">
        <v>12</v>
      </c>
    </row>
    <row r="305" spans="1:19" x14ac:dyDescent="0.25">
      <c r="A305" s="19" t="s">
        <v>47</v>
      </c>
      <c r="B305" s="19">
        <v>28</v>
      </c>
      <c r="C305" s="19" t="s">
        <v>29</v>
      </c>
      <c r="D305" s="19">
        <v>2025</v>
      </c>
      <c r="E305" s="19">
        <v>6</v>
      </c>
      <c r="F305" s="19">
        <v>12</v>
      </c>
      <c r="G305" s="19">
        <v>4</v>
      </c>
      <c r="H305" s="19">
        <v>2</v>
      </c>
      <c r="I305" s="19">
        <v>0</v>
      </c>
      <c r="J305" s="19">
        <v>0</v>
      </c>
      <c r="K305" s="19">
        <v>0</v>
      </c>
      <c r="L305" s="19">
        <v>0</v>
      </c>
      <c r="M305" s="19">
        <v>0</v>
      </c>
      <c r="N305" s="19">
        <v>0</v>
      </c>
      <c r="O305" s="19">
        <f t="shared" si="12"/>
        <v>6</v>
      </c>
      <c r="P305" s="19">
        <f t="shared" si="13"/>
        <v>14</v>
      </c>
      <c r="Q305" s="19">
        <f t="shared" si="14"/>
        <v>4</v>
      </c>
      <c r="R305" s="19">
        <v>0</v>
      </c>
      <c r="S305" s="19">
        <v>12</v>
      </c>
    </row>
    <row r="306" spans="1:19" x14ac:dyDescent="0.25">
      <c r="A306" s="19" t="s">
        <v>42</v>
      </c>
      <c r="B306" s="19">
        <v>29</v>
      </c>
      <c r="C306" s="19" t="s">
        <v>29</v>
      </c>
      <c r="D306" s="19">
        <v>2025</v>
      </c>
      <c r="E306" s="19">
        <v>6</v>
      </c>
      <c r="F306" s="19">
        <v>12</v>
      </c>
      <c r="G306" s="19">
        <v>4</v>
      </c>
      <c r="H306" s="19">
        <v>2</v>
      </c>
      <c r="I306" s="19">
        <v>0</v>
      </c>
      <c r="J306" s="19">
        <v>0</v>
      </c>
      <c r="K306" s="19">
        <v>0</v>
      </c>
      <c r="L306" s="19">
        <v>0</v>
      </c>
      <c r="M306" s="19">
        <v>0</v>
      </c>
      <c r="N306" s="19">
        <v>0</v>
      </c>
      <c r="O306" s="19">
        <f t="shared" si="12"/>
        <v>6</v>
      </c>
      <c r="P306" s="19">
        <f t="shared" si="13"/>
        <v>14</v>
      </c>
      <c r="Q306" s="19">
        <f t="shared" si="14"/>
        <v>4</v>
      </c>
      <c r="R306" s="19">
        <v>0</v>
      </c>
      <c r="S306" s="19">
        <v>12</v>
      </c>
    </row>
    <row r="307" spans="1:19" x14ac:dyDescent="0.25">
      <c r="A307" s="19" t="s">
        <v>43</v>
      </c>
      <c r="B307" s="19">
        <v>30</v>
      </c>
      <c r="C307" s="19" t="s">
        <v>29</v>
      </c>
      <c r="D307" s="19">
        <v>2025</v>
      </c>
      <c r="E307" s="19">
        <v>6</v>
      </c>
      <c r="F307" s="19">
        <v>12</v>
      </c>
      <c r="G307" s="19">
        <v>4</v>
      </c>
      <c r="H307" s="19">
        <v>2</v>
      </c>
      <c r="I307" s="19">
        <v>0</v>
      </c>
      <c r="J307" s="19">
        <v>0</v>
      </c>
      <c r="K307" s="19">
        <v>0</v>
      </c>
      <c r="L307" s="19">
        <v>0</v>
      </c>
      <c r="M307" s="19">
        <v>0</v>
      </c>
      <c r="N307" s="19">
        <v>0</v>
      </c>
      <c r="O307" s="19">
        <f t="shared" si="12"/>
        <v>6</v>
      </c>
      <c r="P307" s="19">
        <f t="shared" si="13"/>
        <v>14</v>
      </c>
      <c r="Q307" s="19">
        <f t="shared" si="14"/>
        <v>4</v>
      </c>
      <c r="R307" s="19">
        <v>0</v>
      </c>
      <c r="S307" s="19">
        <v>12</v>
      </c>
    </row>
    <row r="308" spans="1:19" x14ac:dyDescent="0.25">
      <c r="A308" s="19" t="s">
        <v>44</v>
      </c>
      <c r="B308" s="19">
        <v>31</v>
      </c>
      <c r="C308" s="19" t="s">
        <v>29</v>
      </c>
      <c r="D308" s="19">
        <v>2025</v>
      </c>
      <c r="E308" s="19">
        <v>6</v>
      </c>
      <c r="F308" s="19">
        <v>12</v>
      </c>
      <c r="G308" s="19">
        <v>4</v>
      </c>
      <c r="H308" s="19">
        <v>2</v>
      </c>
      <c r="I308" s="19">
        <v>0</v>
      </c>
      <c r="J308" s="19">
        <v>0</v>
      </c>
      <c r="K308" s="19">
        <v>0</v>
      </c>
      <c r="L308" s="19">
        <v>0</v>
      </c>
      <c r="M308" s="19">
        <v>0</v>
      </c>
      <c r="N308" s="19">
        <v>0</v>
      </c>
      <c r="O308" s="19">
        <f t="shared" si="12"/>
        <v>6</v>
      </c>
      <c r="P308" s="19">
        <f t="shared" si="13"/>
        <v>14</v>
      </c>
      <c r="Q308" s="19">
        <f t="shared" si="14"/>
        <v>4</v>
      </c>
      <c r="R308" s="19">
        <v>0</v>
      </c>
      <c r="S308" s="19">
        <v>12</v>
      </c>
    </row>
    <row r="309" spans="1:19" x14ac:dyDescent="0.25">
      <c r="A309" s="20" t="s">
        <v>36</v>
      </c>
      <c r="B309" s="20">
        <v>1</v>
      </c>
      <c r="C309" s="20" t="s">
        <v>18</v>
      </c>
      <c r="D309" s="20">
        <v>2025</v>
      </c>
      <c r="E309" s="20">
        <v>0</v>
      </c>
      <c r="F309" s="20">
        <v>0</v>
      </c>
      <c r="G309" s="20">
        <v>0</v>
      </c>
      <c r="H309" s="20">
        <v>0</v>
      </c>
      <c r="I309" s="20">
        <v>8</v>
      </c>
      <c r="J309" s="20">
        <v>11</v>
      </c>
      <c r="K309" s="20">
        <v>2</v>
      </c>
      <c r="L309" s="20">
        <v>3</v>
      </c>
      <c r="M309" s="20">
        <v>0</v>
      </c>
      <c r="N309" s="20">
        <v>0</v>
      </c>
      <c r="O309" s="20">
        <f t="shared" si="12"/>
        <v>8</v>
      </c>
      <c r="P309" s="20">
        <f t="shared" si="13"/>
        <v>14</v>
      </c>
      <c r="Q309" s="20">
        <f t="shared" si="14"/>
        <v>2</v>
      </c>
      <c r="R309" s="20">
        <v>1</v>
      </c>
      <c r="S309" s="20">
        <v>11</v>
      </c>
    </row>
    <row r="310" spans="1:19" x14ac:dyDescent="0.25">
      <c r="A310" s="20" t="s">
        <v>45</v>
      </c>
      <c r="B310" s="20">
        <v>2</v>
      </c>
      <c r="C310" s="20" t="s">
        <v>18</v>
      </c>
      <c r="D310" s="20">
        <v>2025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18</v>
      </c>
      <c r="N310" s="20">
        <v>6</v>
      </c>
      <c r="O310" s="20">
        <f t="shared" si="12"/>
        <v>18</v>
      </c>
      <c r="P310" s="20">
        <f t="shared" si="13"/>
        <v>6</v>
      </c>
      <c r="Q310" s="20">
        <f t="shared" si="14"/>
        <v>0</v>
      </c>
      <c r="R310" s="20">
        <v>12</v>
      </c>
      <c r="S310" s="20">
        <v>0</v>
      </c>
    </row>
    <row r="311" spans="1:19" x14ac:dyDescent="0.25">
      <c r="A311" s="20" t="s">
        <v>46</v>
      </c>
      <c r="B311" s="20">
        <v>3</v>
      </c>
      <c r="C311" s="20" t="s">
        <v>18</v>
      </c>
      <c r="D311" s="20">
        <v>2025</v>
      </c>
      <c r="E311" s="20">
        <v>6</v>
      </c>
      <c r="F311" s="20">
        <v>12</v>
      </c>
      <c r="G311" s="20">
        <v>4</v>
      </c>
      <c r="H311" s="20">
        <v>2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f t="shared" si="12"/>
        <v>6</v>
      </c>
      <c r="P311" s="20">
        <f t="shared" si="13"/>
        <v>14</v>
      </c>
      <c r="Q311" s="20">
        <f t="shared" si="14"/>
        <v>4</v>
      </c>
      <c r="R311" s="20">
        <v>0</v>
      </c>
      <c r="S311" s="20">
        <v>12</v>
      </c>
    </row>
    <row r="312" spans="1:19" x14ac:dyDescent="0.25">
      <c r="A312" s="20" t="s">
        <v>47</v>
      </c>
      <c r="B312" s="20">
        <v>4</v>
      </c>
      <c r="C312" s="20" t="s">
        <v>18</v>
      </c>
      <c r="D312" s="20">
        <v>2025</v>
      </c>
      <c r="E312" s="20">
        <v>6</v>
      </c>
      <c r="F312" s="20">
        <v>12</v>
      </c>
      <c r="G312" s="20">
        <v>4</v>
      </c>
      <c r="H312" s="20">
        <v>2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f t="shared" si="12"/>
        <v>6</v>
      </c>
      <c r="P312" s="20">
        <f t="shared" si="13"/>
        <v>14</v>
      </c>
      <c r="Q312" s="20">
        <f t="shared" si="14"/>
        <v>4</v>
      </c>
      <c r="R312" s="20">
        <v>0</v>
      </c>
      <c r="S312" s="20">
        <v>12</v>
      </c>
    </row>
    <row r="313" spans="1:19" x14ac:dyDescent="0.25">
      <c r="A313" s="20" t="s">
        <v>42</v>
      </c>
      <c r="B313" s="20">
        <v>5</v>
      </c>
      <c r="C313" s="20" t="s">
        <v>18</v>
      </c>
      <c r="D313" s="20">
        <v>2025</v>
      </c>
      <c r="E313" s="20">
        <v>6</v>
      </c>
      <c r="F313" s="20">
        <v>12</v>
      </c>
      <c r="G313" s="20">
        <v>4</v>
      </c>
      <c r="H313" s="20">
        <v>2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f t="shared" si="12"/>
        <v>6</v>
      </c>
      <c r="P313" s="20">
        <f t="shared" si="13"/>
        <v>14</v>
      </c>
      <c r="Q313" s="20">
        <f t="shared" si="14"/>
        <v>4</v>
      </c>
      <c r="R313" s="20">
        <v>0</v>
      </c>
      <c r="S313" s="20">
        <v>12</v>
      </c>
    </row>
    <row r="314" spans="1:19" x14ac:dyDescent="0.25">
      <c r="A314" s="20" t="s">
        <v>43</v>
      </c>
      <c r="B314" s="20">
        <v>6</v>
      </c>
      <c r="C314" s="20" t="s">
        <v>18</v>
      </c>
      <c r="D314" s="20">
        <v>2025</v>
      </c>
      <c r="E314" s="20">
        <v>6</v>
      </c>
      <c r="F314" s="20">
        <v>12</v>
      </c>
      <c r="G314" s="20">
        <v>4</v>
      </c>
      <c r="H314" s="20">
        <v>2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f t="shared" si="12"/>
        <v>6</v>
      </c>
      <c r="P314" s="20">
        <f t="shared" si="13"/>
        <v>14</v>
      </c>
      <c r="Q314" s="20">
        <f t="shared" si="14"/>
        <v>4</v>
      </c>
      <c r="R314" s="20">
        <v>0</v>
      </c>
      <c r="S314" s="20">
        <v>12</v>
      </c>
    </row>
    <row r="315" spans="1:19" x14ac:dyDescent="0.25">
      <c r="A315" s="20" t="s">
        <v>44</v>
      </c>
      <c r="B315" s="20">
        <v>7</v>
      </c>
      <c r="C315" s="20" t="s">
        <v>18</v>
      </c>
      <c r="D315" s="20">
        <v>2025</v>
      </c>
      <c r="E315" s="20">
        <v>6</v>
      </c>
      <c r="F315" s="20">
        <v>12</v>
      </c>
      <c r="G315" s="20">
        <v>4</v>
      </c>
      <c r="H315" s="20">
        <v>2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f t="shared" si="12"/>
        <v>6</v>
      </c>
      <c r="P315" s="20">
        <f t="shared" si="13"/>
        <v>14</v>
      </c>
      <c r="Q315" s="20">
        <f t="shared" si="14"/>
        <v>4</v>
      </c>
      <c r="R315" s="20">
        <v>0</v>
      </c>
      <c r="S315" s="20">
        <v>12</v>
      </c>
    </row>
    <row r="316" spans="1:19" x14ac:dyDescent="0.25">
      <c r="A316" s="20" t="s">
        <v>36</v>
      </c>
      <c r="B316" s="20">
        <v>8</v>
      </c>
      <c r="C316" s="20" t="s">
        <v>18</v>
      </c>
      <c r="D316" s="20">
        <v>2025</v>
      </c>
      <c r="E316" s="20">
        <v>0</v>
      </c>
      <c r="F316" s="20">
        <v>0</v>
      </c>
      <c r="G316" s="20">
        <v>0</v>
      </c>
      <c r="H316" s="20">
        <v>0</v>
      </c>
      <c r="I316" s="20">
        <v>8</v>
      </c>
      <c r="J316" s="20">
        <v>11</v>
      </c>
      <c r="K316" s="20">
        <v>2</v>
      </c>
      <c r="L316" s="20">
        <v>3</v>
      </c>
      <c r="M316" s="20">
        <v>0</v>
      </c>
      <c r="N316" s="20">
        <v>0</v>
      </c>
      <c r="O316" s="20">
        <f t="shared" si="12"/>
        <v>8</v>
      </c>
      <c r="P316" s="20">
        <f t="shared" si="13"/>
        <v>14</v>
      </c>
      <c r="Q316" s="20">
        <f t="shared" si="14"/>
        <v>2</v>
      </c>
      <c r="R316" s="20">
        <v>1</v>
      </c>
      <c r="S316" s="20">
        <v>11</v>
      </c>
    </row>
    <row r="317" spans="1:19" x14ac:dyDescent="0.25">
      <c r="A317" s="20" t="s">
        <v>45</v>
      </c>
      <c r="B317" s="20">
        <v>9</v>
      </c>
      <c r="C317" s="20" t="s">
        <v>18</v>
      </c>
      <c r="D317" s="20">
        <v>2025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18</v>
      </c>
      <c r="N317" s="20">
        <v>6</v>
      </c>
      <c r="O317" s="20">
        <f t="shared" si="12"/>
        <v>18</v>
      </c>
      <c r="P317" s="20">
        <f t="shared" si="13"/>
        <v>6</v>
      </c>
      <c r="Q317" s="20">
        <f t="shared" si="14"/>
        <v>0</v>
      </c>
      <c r="R317" s="20">
        <v>12</v>
      </c>
      <c r="S317" s="20">
        <v>0</v>
      </c>
    </row>
    <row r="318" spans="1:19" x14ac:dyDescent="0.25">
      <c r="A318" s="20" t="s">
        <v>46</v>
      </c>
      <c r="B318" s="20">
        <v>10</v>
      </c>
      <c r="C318" s="20" t="s">
        <v>18</v>
      </c>
      <c r="D318" s="20">
        <v>2025</v>
      </c>
      <c r="E318" s="20">
        <v>6</v>
      </c>
      <c r="F318" s="20">
        <v>12</v>
      </c>
      <c r="G318" s="20">
        <v>4</v>
      </c>
      <c r="H318" s="20">
        <v>2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f t="shared" si="12"/>
        <v>6</v>
      </c>
      <c r="P318" s="20">
        <f t="shared" si="13"/>
        <v>14</v>
      </c>
      <c r="Q318" s="20">
        <f t="shared" si="14"/>
        <v>4</v>
      </c>
      <c r="R318" s="20">
        <v>0</v>
      </c>
      <c r="S318" s="20">
        <v>12</v>
      </c>
    </row>
    <row r="319" spans="1:19" x14ac:dyDescent="0.25">
      <c r="A319" s="20" t="s">
        <v>47</v>
      </c>
      <c r="B319" s="20">
        <v>11</v>
      </c>
      <c r="C319" s="20" t="s">
        <v>18</v>
      </c>
      <c r="D319" s="20">
        <v>2025</v>
      </c>
      <c r="E319" s="20">
        <v>6</v>
      </c>
      <c r="F319" s="20">
        <v>12</v>
      </c>
      <c r="G319" s="20">
        <v>4</v>
      </c>
      <c r="H319" s="20">
        <v>2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f t="shared" si="12"/>
        <v>6</v>
      </c>
      <c r="P319" s="20">
        <f t="shared" si="13"/>
        <v>14</v>
      </c>
      <c r="Q319" s="20">
        <f t="shared" si="14"/>
        <v>4</v>
      </c>
      <c r="R319" s="20">
        <v>0</v>
      </c>
      <c r="S319" s="20">
        <v>12</v>
      </c>
    </row>
    <row r="320" spans="1:19" x14ac:dyDescent="0.25">
      <c r="A320" s="20" t="s">
        <v>42</v>
      </c>
      <c r="B320" s="20">
        <v>12</v>
      </c>
      <c r="C320" s="20" t="s">
        <v>18</v>
      </c>
      <c r="D320" s="20">
        <v>2025</v>
      </c>
      <c r="E320" s="20">
        <v>6</v>
      </c>
      <c r="F320" s="20">
        <v>12</v>
      </c>
      <c r="G320" s="20">
        <v>4</v>
      </c>
      <c r="H320" s="20">
        <v>2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f t="shared" ref="O320:O369" si="15">SUM(E320,I320,M320)</f>
        <v>6</v>
      </c>
      <c r="P320" s="20">
        <f t="shared" ref="P320:P369" si="16">SUM(F320,H320,J320,L320,N320)</f>
        <v>14</v>
      </c>
      <c r="Q320" s="20">
        <f t="shared" ref="Q320:Q369" si="17">SUM(G320,K320)</f>
        <v>4</v>
      </c>
      <c r="R320" s="20">
        <v>0</v>
      </c>
      <c r="S320" s="20">
        <v>12</v>
      </c>
    </row>
    <row r="321" spans="1:19" x14ac:dyDescent="0.25">
      <c r="A321" s="20" t="s">
        <v>43</v>
      </c>
      <c r="B321" s="20">
        <v>13</v>
      </c>
      <c r="C321" s="20" t="s">
        <v>18</v>
      </c>
      <c r="D321" s="20">
        <v>2025</v>
      </c>
      <c r="E321" s="20">
        <v>6</v>
      </c>
      <c r="F321" s="20">
        <v>12</v>
      </c>
      <c r="G321" s="20">
        <v>4</v>
      </c>
      <c r="H321" s="20">
        <v>2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f t="shared" si="15"/>
        <v>6</v>
      </c>
      <c r="P321" s="20">
        <f t="shared" si="16"/>
        <v>14</v>
      </c>
      <c r="Q321" s="20">
        <f t="shared" si="17"/>
        <v>4</v>
      </c>
      <c r="R321" s="20">
        <v>0</v>
      </c>
      <c r="S321" s="20">
        <v>12</v>
      </c>
    </row>
    <row r="322" spans="1:19" x14ac:dyDescent="0.25">
      <c r="A322" s="20" t="s">
        <v>44</v>
      </c>
      <c r="B322" s="20">
        <v>14</v>
      </c>
      <c r="C322" s="20" t="s">
        <v>18</v>
      </c>
      <c r="D322" s="20">
        <v>2025</v>
      </c>
      <c r="E322" s="20">
        <v>6</v>
      </c>
      <c r="F322" s="20">
        <v>12</v>
      </c>
      <c r="G322" s="20">
        <v>4</v>
      </c>
      <c r="H322" s="20">
        <v>2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f t="shared" si="15"/>
        <v>6</v>
      </c>
      <c r="P322" s="20">
        <f t="shared" si="16"/>
        <v>14</v>
      </c>
      <c r="Q322" s="20">
        <f t="shared" si="17"/>
        <v>4</v>
      </c>
      <c r="R322" s="20">
        <v>0</v>
      </c>
      <c r="S322" s="20">
        <v>12</v>
      </c>
    </row>
    <row r="323" spans="1:19" x14ac:dyDescent="0.25">
      <c r="A323" s="20" t="s">
        <v>36</v>
      </c>
      <c r="B323" s="20">
        <v>15</v>
      </c>
      <c r="C323" s="20" t="s">
        <v>18</v>
      </c>
      <c r="D323" s="20">
        <v>2025</v>
      </c>
      <c r="E323" s="20">
        <v>0</v>
      </c>
      <c r="F323" s="20">
        <v>0</v>
      </c>
      <c r="G323" s="20">
        <v>0</v>
      </c>
      <c r="H323" s="20">
        <v>0</v>
      </c>
      <c r="I323" s="20">
        <v>8</v>
      </c>
      <c r="J323" s="20">
        <v>11</v>
      </c>
      <c r="K323" s="20">
        <v>2</v>
      </c>
      <c r="L323" s="20">
        <v>3</v>
      </c>
      <c r="M323" s="20">
        <v>0</v>
      </c>
      <c r="N323" s="20">
        <v>0</v>
      </c>
      <c r="O323" s="20">
        <f t="shared" si="15"/>
        <v>8</v>
      </c>
      <c r="P323" s="20">
        <f t="shared" si="16"/>
        <v>14</v>
      </c>
      <c r="Q323" s="20">
        <f t="shared" si="17"/>
        <v>2</v>
      </c>
      <c r="R323" s="20">
        <v>1</v>
      </c>
      <c r="S323" s="20">
        <v>11</v>
      </c>
    </row>
    <row r="324" spans="1:19" x14ac:dyDescent="0.25">
      <c r="A324" s="20" t="s">
        <v>45</v>
      </c>
      <c r="B324" s="20">
        <v>16</v>
      </c>
      <c r="C324" s="20" t="s">
        <v>18</v>
      </c>
      <c r="D324" s="20">
        <v>2025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18</v>
      </c>
      <c r="N324" s="20">
        <v>6</v>
      </c>
      <c r="O324" s="20">
        <f t="shared" si="15"/>
        <v>18</v>
      </c>
      <c r="P324" s="20">
        <f t="shared" si="16"/>
        <v>6</v>
      </c>
      <c r="Q324" s="20">
        <f t="shared" si="17"/>
        <v>0</v>
      </c>
      <c r="R324" s="20">
        <v>12</v>
      </c>
      <c r="S324" s="20">
        <v>0</v>
      </c>
    </row>
    <row r="325" spans="1:19" x14ac:dyDescent="0.25">
      <c r="A325" s="20" t="s">
        <v>46</v>
      </c>
      <c r="B325" s="20">
        <v>17</v>
      </c>
      <c r="C325" s="20" t="s">
        <v>18</v>
      </c>
      <c r="D325" s="20">
        <v>2025</v>
      </c>
      <c r="E325" s="20">
        <v>6</v>
      </c>
      <c r="F325" s="20">
        <v>12</v>
      </c>
      <c r="G325" s="20">
        <v>4</v>
      </c>
      <c r="H325" s="20">
        <v>2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f t="shared" si="15"/>
        <v>6</v>
      </c>
      <c r="P325" s="20">
        <f t="shared" si="16"/>
        <v>14</v>
      </c>
      <c r="Q325" s="20">
        <f t="shared" si="17"/>
        <v>4</v>
      </c>
      <c r="R325" s="20">
        <v>0</v>
      </c>
      <c r="S325" s="20">
        <v>12</v>
      </c>
    </row>
    <row r="326" spans="1:19" x14ac:dyDescent="0.25">
      <c r="A326" s="20" t="s">
        <v>47</v>
      </c>
      <c r="B326" s="20">
        <v>18</v>
      </c>
      <c r="C326" s="20" t="s">
        <v>18</v>
      </c>
      <c r="D326" s="20">
        <v>2025</v>
      </c>
      <c r="E326" s="20">
        <v>6</v>
      </c>
      <c r="F326" s="20">
        <v>12</v>
      </c>
      <c r="G326" s="20">
        <v>4</v>
      </c>
      <c r="H326" s="20">
        <v>2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f t="shared" si="15"/>
        <v>6</v>
      </c>
      <c r="P326" s="20">
        <f t="shared" si="16"/>
        <v>14</v>
      </c>
      <c r="Q326" s="20">
        <f t="shared" si="17"/>
        <v>4</v>
      </c>
      <c r="R326" s="20">
        <v>0</v>
      </c>
      <c r="S326" s="20">
        <v>12</v>
      </c>
    </row>
    <row r="327" spans="1:19" x14ac:dyDescent="0.25">
      <c r="A327" s="20" t="s">
        <v>42</v>
      </c>
      <c r="B327" s="20">
        <v>19</v>
      </c>
      <c r="C327" s="20" t="s">
        <v>18</v>
      </c>
      <c r="D327" s="20">
        <v>2025</v>
      </c>
      <c r="E327" s="20">
        <v>6</v>
      </c>
      <c r="F327" s="20">
        <v>12</v>
      </c>
      <c r="G327" s="20">
        <v>4</v>
      </c>
      <c r="H327" s="20">
        <v>2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f t="shared" si="15"/>
        <v>6</v>
      </c>
      <c r="P327" s="20">
        <f t="shared" si="16"/>
        <v>14</v>
      </c>
      <c r="Q327" s="20">
        <f t="shared" si="17"/>
        <v>4</v>
      </c>
      <c r="R327" s="20">
        <v>0</v>
      </c>
      <c r="S327" s="20">
        <v>12</v>
      </c>
    </row>
    <row r="328" spans="1:19" x14ac:dyDescent="0.25">
      <c r="A328" s="20" t="s">
        <v>43</v>
      </c>
      <c r="B328" s="20">
        <v>20</v>
      </c>
      <c r="C328" s="20" t="s">
        <v>18</v>
      </c>
      <c r="D328" s="20">
        <v>2025</v>
      </c>
      <c r="E328" s="20">
        <v>6</v>
      </c>
      <c r="F328" s="20">
        <v>12</v>
      </c>
      <c r="G328" s="20">
        <v>4</v>
      </c>
      <c r="H328" s="20">
        <v>2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f t="shared" si="15"/>
        <v>6</v>
      </c>
      <c r="P328" s="20">
        <f t="shared" si="16"/>
        <v>14</v>
      </c>
      <c r="Q328" s="20">
        <f t="shared" si="17"/>
        <v>4</v>
      </c>
      <c r="R328" s="20">
        <v>0</v>
      </c>
      <c r="S328" s="20">
        <v>12</v>
      </c>
    </row>
    <row r="329" spans="1:19" x14ac:dyDescent="0.25">
      <c r="A329" s="20" t="s">
        <v>44</v>
      </c>
      <c r="B329" s="20">
        <v>21</v>
      </c>
      <c r="C329" s="20" t="s">
        <v>18</v>
      </c>
      <c r="D329" s="20">
        <v>2025</v>
      </c>
      <c r="E329" s="20">
        <v>6</v>
      </c>
      <c r="F329" s="20">
        <v>12</v>
      </c>
      <c r="G329" s="20">
        <v>4</v>
      </c>
      <c r="H329" s="20">
        <v>2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f t="shared" si="15"/>
        <v>6</v>
      </c>
      <c r="P329" s="20">
        <f t="shared" si="16"/>
        <v>14</v>
      </c>
      <c r="Q329" s="20">
        <f t="shared" si="17"/>
        <v>4</v>
      </c>
      <c r="R329" s="20">
        <v>0</v>
      </c>
      <c r="S329" s="20">
        <v>12</v>
      </c>
    </row>
    <row r="330" spans="1:19" x14ac:dyDescent="0.25">
      <c r="A330" s="20" t="s">
        <v>36</v>
      </c>
      <c r="B330" s="20">
        <v>22</v>
      </c>
      <c r="C330" s="20" t="s">
        <v>18</v>
      </c>
      <c r="D330" s="20">
        <v>2025</v>
      </c>
      <c r="E330" s="20">
        <v>0</v>
      </c>
      <c r="F330" s="20">
        <v>0</v>
      </c>
      <c r="G330" s="20">
        <v>0</v>
      </c>
      <c r="H330" s="20">
        <v>0</v>
      </c>
      <c r="I330" s="20">
        <v>8</v>
      </c>
      <c r="J330" s="20">
        <v>11</v>
      </c>
      <c r="K330" s="20">
        <v>2</v>
      </c>
      <c r="L330" s="20">
        <v>3</v>
      </c>
      <c r="M330" s="20">
        <v>0</v>
      </c>
      <c r="N330" s="20">
        <v>0</v>
      </c>
      <c r="O330" s="20">
        <f t="shared" si="15"/>
        <v>8</v>
      </c>
      <c r="P330" s="20">
        <f t="shared" si="16"/>
        <v>14</v>
      </c>
      <c r="Q330" s="20">
        <f t="shared" si="17"/>
        <v>2</v>
      </c>
      <c r="R330" s="20">
        <v>1</v>
      </c>
      <c r="S330" s="20">
        <v>11</v>
      </c>
    </row>
    <row r="331" spans="1:19" x14ac:dyDescent="0.25">
      <c r="A331" s="20" t="s">
        <v>45</v>
      </c>
      <c r="B331" s="20">
        <v>23</v>
      </c>
      <c r="C331" s="20" t="s">
        <v>18</v>
      </c>
      <c r="D331" s="20">
        <v>2025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18</v>
      </c>
      <c r="N331" s="20">
        <v>6</v>
      </c>
      <c r="O331" s="20">
        <f t="shared" si="15"/>
        <v>18</v>
      </c>
      <c r="P331" s="20">
        <f t="shared" si="16"/>
        <v>6</v>
      </c>
      <c r="Q331" s="20">
        <f t="shared" si="17"/>
        <v>0</v>
      </c>
      <c r="R331" s="20">
        <v>12</v>
      </c>
      <c r="S331" s="20">
        <v>0</v>
      </c>
    </row>
    <row r="332" spans="1:19" x14ac:dyDescent="0.25">
      <c r="A332" s="20" t="s">
        <v>46</v>
      </c>
      <c r="B332" s="20">
        <v>24</v>
      </c>
      <c r="C332" s="20" t="s">
        <v>18</v>
      </c>
      <c r="D332" s="20">
        <v>2025</v>
      </c>
      <c r="E332" s="20">
        <v>6</v>
      </c>
      <c r="F332" s="20">
        <v>12</v>
      </c>
      <c r="G332" s="20">
        <v>4</v>
      </c>
      <c r="H332" s="20">
        <v>2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f t="shared" si="15"/>
        <v>6</v>
      </c>
      <c r="P332" s="20">
        <f t="shared" si="16"/>
        <v>14</v>
      </c>
      <c r="Q332" s="20">
        <f t="shared" si="17"/>
        <v>4</v>
      </c>
      <c r="R332" s="20">
        <v>0</v>
      </c>
      <c r="S332" s="20">
        <v>12</v>
      </c>
    </row>
    <row r="333" spans="1:19" x14ac:dyDescent="0.25">
      <c r="A333" s="20" t="s">
        <v>47</v>
      </c>
      <c r="B333" s="20">
        <v>25</v>
      </c>
      <c r="C333" s="20" t="s">
        <v>18</v>
      </c>
      <c r="D333" s="20">
        <v>2025</v>
      </c>
      <c r="E333" s="20">
        <v>6</v>
      </c>
      <c r="F333" s="20">
        <v>12</v>
      </c>
      <c r="G333" s="20">
        <v>4</v>
      </c>
      <c r="H333" s="20">
        <v>2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f t="shared" si="15"/>
        <v>6</v>
      </c>
      <c r="P333" s="20">
        <f t="shared" si="16"/>
        <v>14</v>
      </c>
      <c r="Q333" s="20">
        <f t="shared" si="17"/>
        <v>4</v>
      </c>
      <c r="R333" s="20">
        <v>0</v>
      </c>
      <c r="S333" s="20">
        <v>12</v>
      </c>
    </row>
    <row r="334" spans="1:19" x14ac:dyDescent="0.25">
      <c r="A334" s="20" t="s">
        <v>42</v>
      </c>
      <c r="B334" s="20">
        <v>26</v>
      </c>
      <c r="C334" s="20" t="s">
        <v>18</v>
      </c>
      <c r="D334" s="20">
        <v>2025</v>
      </c>
      <c r="E334" s="20">
        <v>6</v>
      </c>
      <c r="F334" s="20">
        <v>12</v>
      </c>
      <c r="G334" s="20">
        <v>4</v>
      </c>
      <c r="H334" s="20">
        <v>2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f t="shared" si="15"/>
        <v>6</v>
      </c>
      <c r="P334" s="20">
        <f t="shared" si="16"/>
        <v>14</v>
      </c>
      <c r="Q334" s="20">
        <f t="shared" si="17"/>
        <v>4</v>
      </c>
      <c r="R334" s="20">
        <v>0</v>
      </c>
      <c r="S334" s="20">
        <v>12</v>
      </c>
    </row>
    <row r="335" spans="1:19" x14ac:dyDescent="0.25">
      <c r="A335" s="20" t="s">
        <v>43</v>
      </c>
      <c r="B335" s="20">
        <v>27</v>
      </c>
      <c r="C335" s="20" t="s">
        <v>18</v>
      </c>
      <c r="D335" s="20">
        <v>2025</v>
      </c>
      <c r="E335" s="20">
        <v>6</v>
      </c>
      <c r="F335" s="20">
        <v>12</v>
      </c>
      <c r="G335" s="20">
        <v>4</v>
      </c>
      <c r="H335" s="20">
        <v>2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f t="shared" si="15"/>
        <v>6</v>
      </c>
      <c r="P335" s="20">
        <f t="shared" si="16"/>
        <v>14</v>
      </c>
      <c r="Q335" s="20">
        <f t="shared" si="17"/>
        <v>4</v>
      </c>
      <c r="R335" s="20">
        <v>0</v>
      </c>
      <c r="S335" s="20">
        <v>12</v>
      </c>
    </row>
    <row r="336" spans="1:19" x14ac:dyDescent="0.25">
      <c r="A336" s="20" t="s">
        <v>44</v>
      </c>
      <c r="B336" s="20">
        <v>28</v>
      </c>
      <c r="C336" s="20" t="s">
        <v>18</v>
      </c>
      <c r="D336" s="20">
        <v>2025</v>
      </c>
      <c r="E336" s="20">
        <v>6</v>
      </c>
      <c r="F336" s="20">
        <v>12</v>
      </c>
      <c r="G336" s="20">
        <v>4</v>
      </c>
      <c r="H336" s="20">
        <v>2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f t="shared" si="15"/>
        <v>6</v>
      </c>
      <c r="P336" s="20">
        <f t="shared" si="16"/>
        <v>14</v>
      </c>
      <c r="Q336" s="20">
        <f t="shared" si="17"/>
        <v>4</v>
      </c>
      <c r="R336" s="20">
        <v>0</v>
      </c>
      <c r="S336" s="20">
        <v>12</v>
      </c>
    </row>
    <row r="337" spans="1:19" x14ac:dyDescent="0.25">
      <c r="A337" s="20" t="s">
        <v>36</v>
      </c>
      <c r="B337" s="20">
        <v>29</v>
      </c>
      <c r="C337" s="20" t="s">
        <v>18</v>
      </c>
      <c r="D337" s="20">
        <v>2025</v>
      </c>
      <c r="E337" s="20">
        <v>0</v>
      </c>
      <c r="F337" s="20">
        <v>0</v>
      </c>
      <c r="G337" s="20">
        <v>0</v>
      </c>
      <c r="H337" s="20">
        <v>0</v>
      </c>
      <c r="I337" s="20">
        <v>8</v>
      </c>
      <c r="J337" s="20">
        <v>11</v>
      </c>
      <c r="K337" s="20">
        <v>2</v>
      </c>
      <c r="L337" s="20">
        <v>3</v>
      </c>
      <c r="M337" s="20">
        <v>0</v>
      </c>
      <c r="N337" s="20">
        <v>0</v>
      </c>
      <c r="O337" s="20">
        <f t="shared" si="15"/>
        <v>8</v>
      </c>
      <c r="P337" s="20">
        <f t="shared" si="16"/>
        <v>14</v>
      </c>
      <c r="Q337" s="20">
        <f t="shared" si="17"/>
        <v>2</v>
      </c>
      <c r="R337" s="20">
        <v>1</v>
      </c>
      <c r="S337" s="20">
        <v>11</v>
      </c>
    </row>
    <row r="338" spans="1:19" x14ac:dyDescent="0.25">
      <c r="A338" s="20" t="s">
        <v>45</v>
      </c>
      <c r="B338" s="20">
        <v>30</v>
      </c>
      <c r="C338" s="20" t="s">
        <v>18</v>
      </c>
      <c r="D338" s="20">
        <v>2025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18</v>
      </c>
      <c r="N338" s="20">
        <v>6</v>
      </c>
      <c r="O338" s="20">
        <f t="shared" si="15"/>
        <v>18</v>
      </c>
      <c r="P338" s="20">
        <f t="shared" si="16"/>
        <v>6</v>
      </c>
      <c r="Q338" s="20">
        <f t="shared" si="17"/>
        <v>0</v>
      </c>
      <c r="R338" s="20">
        <v>12</v>
      </c>
      <c r="S338" s="20">
        <v>0</v>
      </c>
    </row>
    <row r="339" spans="1:19" x14ac:dyDescent="0.25">
      <c r="A339" s="21" t="s">
        <v>46</v>
      </c>
      <c r="B339" s="21">
        <v>1</v>
      </c>
      <c r="C339" s="21" t="s">
        <v>48</v>
      </c>
      <c r="D339" s="21">
        <v>2025</v>
      </c>
      <c r="E339" s="21">
        <v>6</v>
      </c>
      <c r="F339" s="21">
        <v>12</v>
      </c>
      <c r="G339" s="21">
        <v>4</v>
      </c>
      <c r="H339" s="21">
        <v>2</v>
      </c>
      <c r="I339" s="21">
        <v>0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1">
        <f t="shared" si="15"/>
        <v>6</v>
      </c>
      <c r="P339" s="21">
        <f t="shared" si="16"/>
        <v>14</v>
      </c>
      <c r="Q339" s="21">
        <f t="shared" si="17"/>
        <v>4</v>
      </c>
      <c r="R339" s="21">
        <v>0</v>
      </c>
      <c r="S339" s="21">
        <v>12</v>
      </c>
    </row>
    <row r="340" spans="1:19" x14ac:dyDescent="0.25">
      <c r="A340" s="21" t="s">
        <v>47</v>
      </c>
      <c r="B340" s="21">
        <v>2</v>
      </c>
      <c r="C340" s="21" t="s">
        <v>48</v>
      </c>
      <c r="D340" s="21">
        <v>2025</v>
      </c>
      <c r="E340" s="21">
        <v>6</v>
      </c>
      <c r="F340" s="21">
        <v>12</v>
      </c>
      <c r="G340" s="21">
        <v>4</v>
      </c>
      <c r="H340" s="21">
        <v>2</v>
      </c>
      <c r="I340" s="21">
        <v>0</v>
      </c>
      <c r="J340" s="21">
        <v>0</v>
      </c>
      <c r="K340" s="21">
        <v>0</v>
      </c>
      <c r="L340" s="21">
        <v>0</v>
      </c>
      <c r="M340" s="21">
        <v>0</v>
      </c>
      <c r="N340" s="21">
        <v>0</v>
      </c>
      <c r="O340" s="21">
        <f t="shared" si="15"/>
        <v>6</v>
      </c>
      <c r="P340" s="21">
        <f t="shared" si="16"/>
        <v>14</v>
      </c>
      <c r="Q340" s="21">
        <f t="shared" si="17"/>
        <v>4</v>
      </c>
      <c r="R340" s="21">
        <v>0</v>
      </c>
      <c r="S340" s="21">
        <v>12</v>
      </c>
    </row>
    <row r="341" spans="1:19" x14ac:dyDescent="0.25">
      <c r="A341" s="21" t="s">
        <v>42</v>
      </c>
      <c r="B341" s="21">
        <v>3</v>
      </c>
      <c r="C341" s="21" t="s">
        <v>48</v>
      </c>
      <c r="D341" s="21">
        <v>2025</v>
      </c>
      <c r="E341" s="21">
        <v>6</v>
      </c>
      <c r="F341" s="21">
        <v>12</v>
      </c>
      <c r="G341" s="21">
        <v>4</v>
      </c>
      <c r="H341" s="21">
        <v>2</v>
      </c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21">
        <f t="shared" si="15"/>
        <v>6</v>
      </c>
      <c r="P341" s="21">
        <f t="shared" si="16"/>
        <v>14</v>
      </c>
      <c r="Q341" s="21">
        <f t="shared" si="17"/>
        <v>4</v>
      </c>
      <c r="R341" s="21">
        <v>0</v>
      </c>
      <c r="S341" s="21">
        <v>12</v>
      </c>
    </row>
    <row r="342" spans="1:19" x14ac:dyDescent="0.25">
      <c r="A342" s="21" t="s">
        <v>43</v>
      </c>
      <c r="B342" s="21">
        <v>4</v>
      </c>
      <c r="C342" s="21" t="s">
        <v>48</v>
      </c>
      <c r="D342" s="21">
        <v>2025</v>
      </c>
      <c r="E342" s="21">
        <v>6</v>
      </c>
      <c r="F342" s="21">
        <v>12</v>
      </c>
      <c r="G342" s="21">
        <v>4</v>
      </c>
      <c r="H342" s="21">
        <v>2</v>
      </c>
      <c r="I342" s="21">
        <v>0</v>
      </c>
      <c r="J342" s="21">
        <v>0</v>
      </c>
      <c r="K342" s="21">
        <v>0</v>
      </c>
      <c r="L342" s="21">
        <v>0</v>
      </c>
      <c r="M342" s="21">
        <v>0</v>
      </c>
      <c r="N342" s="21">
        <v>0</v>
      </c>
      <c r="O342" s="21">
        <f t="shared" si="15"/>
        <v>6</v>
      </c>
      <c r="P342" s="21">
        <f t="shared" si="16"/>
        <v>14</v>
      </c>
      <c r="Q342" s="21">
        <f t="shared" si="17"/>
        <v>4</v>
      </c>
      <c r="R342" s="21">
        <v>0</v>
      </c>
      <c r="S342" s="21">
        <v>12</v>
      </c>
    </row>
    <row r="343" spans="1:19" x14ac:dyDescent="0.25">
      <c r="A343" s="21" t="s">
        <v>44</v>
      </c>
      <c r="B343" s="21">
        <v>5</v>
      </c>
      <c r="C343" s="21" t="s">
        <v>48</v>
      </c>
      <c r="D343" s="21">
        <v>2025</v>
      </c>
      <c r="E343" s="21">
        <v>6</v>
      </c>
      <c r="F343" s="21">
        <v>12</v>
      </c>
      <c r="G343" s="21">
        <v>4</v>
      </c>
      <c r="H343" s="21">
        <v>2</v>
      </c>
      <c r="I343" s="21">
        <v>0</v>
      </c>
      <c r="J343" s="21">
        <v>0</v>
      </c>
      <c r="K343" s="21">
        <v>0</v>
      </c>
      <c r="L343" s="21">
        <v>0</v>
      </c>
      <c r="M343" s="21">
        <v>0</v>
      </c>
      <c r="N343" s="21">
        <v>0</v>
      </c>
      <c r="O343" s="21">
        <f t="shared" si="15"/>
        <v>6</v>
      </c>
      <c r="P343" s="21">
        <f t="shared" si="16"/>
        <v>14</v>
      </c>
      <c r="Q343" s="21">
        <f t="shared" si="17"/>
        <v>4</v>
      </c>
      <c r="R343" s="21">
        <v>0</v>
      </c>
      <c r="S343" s="21">
        <v>12</v>
      </c>
    </row>
    <row r="344" spans="1:19" x14ac:dyDescent="0.25">
      <c r="A344" s="21" t="s">
        <v>36</v>
      </c>
      <c r="B344" s="21">
        <v>6</v>
      </c>
      <c r="C344" s="21" t="s">
        <v>48</v>
      </c>
      <c r="D344" s="21">
        <v>2025</v>
      </c>
      <c r="E344" s="21">
        <v>0</v>
      </c>
      <c r="F344" s="21">
        <v>0</v>
      </c>
      <c r="G344" s="21">
        <v>0</v>
      </c>
      <c r="H344" s="21">
        <v>0</v>
      </c>
      <c r="I344" s="21">
        <v>8</v>
      </c>
      <c r="J344" s="21">
        <v>11</v>
      </c>
      <c r="K344" s="21">
        <v>2</v>
      </c>
      <c r="L344" s="21">
        <v>3</v>
      </c>
      <c r="M344" s="21">
        <v>0</v>
      </c>
      <c r="N344" s="21">
        <v>0</v>
      </c>
      <c r="O344" s="21">
        <f t="shared" si="15"/>
        <v>8</v>
      </c>
      <c r="P344" s="21">
        <f t="shared" si="16"/>
        <v>14</v>
      </c>
      <c r="Q344" s="21">
        <f t="shared" si="17"/>
        <v>2</v>
      </c>
      <c r="R344" s="21">
        <v>1</v>
      </c>
      <c r="S344" s="21">
        <v>11</v>
      </c>
    </row>
    <row r="345" spans="1:19" x14ac:dyDescent="0.25">
      <c r="A345" s="21" t="s">
        <v>45</v>
      </c>
      <c r="B345" s="21">
        <v>7</v>
      </c>
      <c r="C345" s="21" t="s">
        <v>48</v>
      </c>
      <c r="D345" s="21">
        <v>2025</v>
      </c>
      <c r="E345" s="21">
        <v>0</v>
      </c>
      <c r="F345" s="21">
        <v>0</v>
      </c>
      <c r="G345" s="21">
        <v>0</v>
      </c>
      <c r="H345" s="21">
        <v>0</v>
      </c>
      <c r="I345" s="21">
        <v>0</v>
      </c>
      <c r="J345" s="21">
        <v>0</v>
      </c>
      <c r="K345" s="21">
        <v>0</v>
      </c>
      <c r="L345" s="21">
        <v>0</v>
      </c>
      <c r="M345" s="21">
        <v>18</v>
      </c>
      <c r="N345" s="21">
        <v>6</v>
      </c>
      <c r="O345" s="21">
        <f t="shared" si="15"/>
        <v>18</v>
      </c>
      <c r="P345" s="21">
        <f t="shared" si="16"/>
        <v>6</v>
      </c>
      <c r="Q345" s="21">
        <f t="shared" si="17"/>
        <v>0</v>
      </c>
      <c r="R345" s="21">
        <v>12</v>
      </c>
      <c r="S345" s="21">
        <v>0</v>
      </c>
    </row>
    <row r="346" spans="1:19" x14ac:dyDescent="0.25">
      <c r="A346" s="21" t="s">
        <v>46</v>
      </c>
      <c r="B346" s="21">
        <v>8</v>
      </c>
      <c r="C346" s="21" t="s">
        <v>48</v>
      </c>
      <c r="D346" s="21">
        <v>2025</v>
      </c>
      <c r="E346" s="21">
        <v>6</v>
      </c>
      <c r="F346" s="21">
        <v>12</v>
      </c>
      <c r="G346" s="21">
        <v>4</v>
      </c>
      <c r="H346" s="21">
        <v>2</v>
      </c>
      <c r="I346" s="21">
        <v>0</v>
      </c>
      <c r="J346" s="21">
        <v>0</v>
      </c>
      <c r="K346" s="21">
        <v>0</v>
      </c>
      <c r="L346" s="21">
        <v>0</v>
      </c>
      <c r="M346" s="21">
        <v>0</v>
      </c>
      <c r="N346" s="21">
        <v>0</v>
      </c>
      <c r="O346" s="21">
        <f t="shared" si="15"/>
        <v>6</v>
      </c>
      <c r="P346" s="21">
        <f t="shared" si="16"/>
        <v>14</v>
      </c>
      <c r="Q346" s="21">
        <f t="shared" si="17"/>
        <v>4</v>
      </c>
      <c r="R346" s="21">
        <v>0</v>
      </c>
      <c r="S346" s="21">
        <v>12</v>
      </c>
    </row>
    <row r="347" spans="1:19" x14ac:dyDescent="0.25">
      <c r="A347" s="21" t="s">
        <v>47</v>
      </c>
      <c r="B347" s="21">
        <v>9</v>
      </c>
      <c r="C347" s="21" t="s">
        <v>48</v>
      </c>
      <c r="D347" s="21">
        <v>2025</v>
      </c>
      <c r="E347" s="21">
        <v>6</v>
      </c>
      <c r="F347" s="21">
        <v>12</v>
      </c>
      <c r="G347" s="21">
        <v>4</v>
      </c>
      <c r="H347" s="21">
        <v>2</v>
      </c>
      <c r="I347" s="21">
        <v>0</v>
      </c>
      <c r="J347" s="21">
        <v>0</v>
      </c>
      <c r="K347" s="21">
        <v>0</v>
      </c>
      <c r="L347" s="21">
        <v>0</v>
      </c>
      <c r="M347" s="21">
        <v>0</v>
      </c>
      <c r="N347" s="21">
        <v>0</v>
      </c>
      <c r="O347" s="21">
        <f t="shared" si="15"/>
        <v>6</v>
      </c>
      <c r="P347" s="21">
        <f t="shared" si="16"/>
        <v>14</v>
      </c>
      <c r="Q347" s="21">
        <f t="shared" si="17"/>
        <v>4</v>
      </c>
      <c r="R347" s="21">
        <v>0</v>
      </c>
      <c r="S347" s="21">
        <v>12</v>
      </c>
    </row>
    <row r="348" spans="1:19" x14ac:dyDescent="0.25">
      <c r="A348" s="21" t="s">
        <v>42</v>
      </c>
      <c r="B348" s="21">
        <v>10</v>
      </c>
      <c r="C348" s="21" t="s">
        <v>48</v>
      </c>
      <c r="D348" s="21">
        <v>2025</v>
      </c>
      <c r="E348" s="21">
        <v>6</v>
      </c>
      <c r="F348" s="21">
        <v>12</v>
      </c>
      <c r="G348" s="21">
        <v>4</v>
      </c>
      <c r="H348" s="21">
        <v>2</v>
      </c>
      <c r="I348" s="21">
        <v>0</v>
      </c>
      <c r="J348" s="21">
        <v>0</v>
      </c>
      <c r="K348" s="21">
        <v>0</v>
      </c>
      <c r="L348" s="21">
        <v>0</v>
      </c>
      <c r="M348" s="21">
        <v>0</v>
      </c>
      <c r="N348" s="21">
        <v>0</v>
      </c>
      <c r="O348" s="21">
        <f t="shared" si="15"/>
        <v>6</v>
      </c>
      <c r="P348" s="21">
        <f t="shared" si="16"/>
        <v>14</v>
      </c>
      <c r="Q348" s="21">
        <f t="shared" si="17"/>
        <v>4</v>
      </c>
      <c r="R348" s="21">
        <v>0</v>
      </c>
      <c r="S348" s="21">
        <v>12</v>
      </c>
    </row>
    <row r="349" spans="1:19" x14ac:dyDescent="0.25">
      <c r="A349" s="21" t="s">
        <v>43</v>
      </c>
      <c r="B349" s="21">
        <v>11</v>
      </c>
      <c r="C349" s="21" t="s">
        <v>48</v>
      </c>
      <c r="D349" s="21">
        <v>2025</v>
      </c>
      <c r="E349" s="21">
        <v>6</v>
      </c>
      <c r="F349" s="21">
        <v>12</v>
      </c>
      <c r="G349" s="21">
        <v>4</v>
      </c>
      <c r="H349" s="21">
        <v>2</v>
      </c>
      <c r="I349" s="21">
        <v>0</v>
      </c>
      <c r="J349" s="21">
        <v>0</v>
      </c>
      <c r="K349" s="21">
        <v>0</v>
      </c>
      <c r="L349" s="21">
        <v>0</v>
      </c>
      <c r="M349" s="21">
        <v>0</v>
      </c>
      <c r="N349" s="21">
        <v>0</v>
      </c>
      <c r="O349" s="21">
        <f t="shared" si="15"/>
        <v>6</v>
      </c>
      <c r="P349" s="21">
        <f t="shared" si="16"/>
        <v>14</v>
      </c>
      <c r="Q349" s="21">
        <f t="shared" si="17"/>
        <v>4</v>
      </c>
      <c r="R349" s="21">
        <v>0</v>
      </c>
      <c r="S349" s="21">
        <v>12</v>
      </c>
    </row>
    <row r="350" spans="1:19" x14ac:dyDescent="0.25">
      <c r="A350" s="21" t="s">
        <v>44</v>
      </c>
      <c r="B350" s="21">
        <v>12</v>
      </c>
      <c r="C350" s="21" t="s">
        <v>48</v>
      </c>
      <c r="D350" s="21">
        <v>2025</v>
      </c>
      <c r="E350" s="21">
        <v>6</v>
      </c>
      <c r="F350" s="21">
        <v>12</v>
      </c>
      <c r="G350" s="21">
        <v>4</v>
      </c>
      <c r="H350" s="21">
        <v>2</v>
      </c>
      <c r="I350" s="21">
        <v>0</v>
      </c>
      <c r="J350" s="21">
        <v>0</v>
      </c>
      <c r="K350" s="21">
        <v>0</v>
      </c>
      <c r="L350" s="21">
        <v>0</v>
      </c>
      <c r="M350" s="21">
        <v>0</v>
      </c>
      <c r="N350" s="21">
        <v>0</v>
      </c>
      <c r="O350" s="21">
        <f t="shared" si="15"/>
        <v>6</v>
      </c>
      <c r="P350" s="21">
        <f t="shared" si="16"/>
        <v>14</v>
      </c>
      <c r="Q350" s="21">
        <f t="shared" si="17"/>
        <v>4</v>
      </c>
      <c r="R350" s="21">
        <v>0</v>
      </c>
      <c r="S350" s="21">
        <v>12</v>
      </c>
    </row>
    <row r="351" spans="1:19" x14ac:dyDescent="0.25">
      <c r="A351" s="21" t="s">
        <v>36</v>
      </c>
      <c r="B351" s="21">
        <v>13</v>
      </c>
      <c r="C351" s="21" t="s">
        <v>48</v>
      </c>
      <c r="D351" s="21">
        <v>2025</v>
      </c>
      <c r="E351" s="21">
        <v>0</v>
      </c>
      <c r="F351" s="21">
        <v>0</v>
      </c>
      <c r="G351" s="21">
        <v>0</v>
      </c>
      <c r="H351" s="21">
        <v>0</v>
      </c>
      <c r="I351" s="21">
        <v>8</v>
      </c>
      <c r="J351" s="21">
        <v>11</v>
      </c>
      <c r="K351" s="21">
        <v>2</v>
      </c>
      <c r="L351" s="21">
        <v>3</v>
      </c>
      <c r="M351" s="21">
        <v>0</v>
      </c>
      <c r="N351" s="21">
        <v>0</v>
      </c>
      <c r="O351" s="21">
        <f t="shared" si="15"/>
        <v>8</v>
      </c>
      <c r="P351" s="21">
        <f t="shared" si="16"/>
        <v>14</v>
      </c>
      <c r="Q351" s="21">
        <f t="shared" si="17"/>
        <v>2</v>
      </c>
      <c r="R351" s="21">
        <v>1</v>
      </c>
      <c r="S351" s="21">
        <v>11</v>
      </c>
    </row>
    <row r="352" spans="1:19" x14ac:dyDescent="0.25">
      <c r="A352" s="21" t="s">
        <v>45</v>
      </c>
      <c r="B352" s="21">
        <v>14</v>
      </c>
      <c r="C352" s="21" t="s">
        <v>48</v>
      </c>
      <c r="D352" s="21">
        <v>2025</v>
      </c>
      <c r="E352" s="21">
        <v>0</v>
      </c>
      <c r="F352" s="21">
        <v>0</v>
      </c>
      <c r="G352" s="21">
        <v>0</v>
      </c>
      <c r="H352" s="21">
        <v>0</v>
      </c>
      <c r="I352" s="21">
        <v>0</v>
      </c>
      <c r="J352" s="21">
        <v>0</v>
      </c>
      <c r="K352" s="21">
        <v>0</v>
      </c>
      <c r="L352" s="21">
        <v>0</v>
      </c>
      <c r="M352" s="21">
        <v>18</v>
      </c>
      <c r="N352" s="21">
        <v>6</v>
      </c>
      <c r="O352" s="21">
        <f t="shared" si="15"/>
        <v>18</v>
      </c>
      <c r="P352" s="21">
        <f t="shared" si="16"/>
        <v>6</v>
      </c>
      <c r="Q352" s="21">
        <f t="shared" si="17"/>
        <v>0</v>
      </c>
      <c r="R352" s="21">
        <v>12</v>
      </c>
      <c r="S352" s="21">
        <v>0</v>
      </c>
    </row>
    <row r="353" spans="1:19" x14ac:dyDescent="0.25">
      <c r="A353" s="21" t="s">
        <v>46</v>
      </c>
      <c r="B353" s="21">
        <v>15</v>
      </c>
      <c r="C353" s="21" t="s">
        <v>48</v>
      </c>
      <c r="D353" s="21">
        <v>2025</v>
      </c>
      <c r="E353" s="21">
        <v>6</v>
      </c>
      <c r="F353" s="21">
        <v>12</v>
      </c>
      <c r="G353" s="21">
        <v>4</v>
      </c>
      <c r="H353" s="21">
        <v>2</v>
      </c>
      <c r="I353" s="21">
        <v>0</v>
      </c>
      <c r="J353" s="21">
        <v>0</v>
      </c>
      <c r="K353" s="21">
        <v>0</v>
      </c>
      <c r="L353" s="21">
        <v>0</v>
      </c>
      <c r="M353" s="21">
        <v>0</v>
      </c>
      <c r="N353" s="21">
        <v>0</v>
      </c>
      <c r="O353" s="21">
        <f t="shared" si="15"/>
        <v>6</v>
      </c>
      <c r="P353" s="21">
        <f t="shared" si="16"/>
        <v>14</v>
      </c>
      <c r="Q353" s="21">
        <f t="shared" si="17"/>
        <v>4</v>
      </c>
      <c r="R353" s="21">
        <v>0</v>
      </c>
      <c r="S353" s="21">
        <v>12</v>
      </c>
    </row>
    <row r="354" spans="1:19" x14ac:dyDescent="0.25">
      <c r="A354" s="21" t="s">
        <v>47</v>
      </c>
      <c r="B354" s="21">
        <v>16</v>
      </c>
      <c r="C354" s="21" t="s">
        <v>48</v>
      </c>
      <c r="D354" s="21">
        <v>2025</v>
      </c>
      <c r="E354" s="21">
        <v>6</v>
      </c>
      <c r="F354" s="21">
        <v>12</v>
      </c>
      <c r="G354" s="21">
        <v>4</v>
      </c>
      <c r="H354" s="21">
        <v>2</v>
      </c>
      <c r="I354" s="21">
        <v>0</v>
      </c>
      <c r="J354" s="21">
        <v>0</v>
      </c>
      <c r="K354" s="21">
        <v>0</v>
      </c>
      <c r="L354" s="21">
        <v>0</v>
      </c>
      <c r="M354" s="21">
        <v>0</v>
      </c>
      <c r="N354" s="21">
        <v>0</v>
      </c>
      <c r="O354" s="21">
        <f t="shared" si="15"/>
        <v>6</v>
      </c>
      <c r="P354" s="21">
        <f t="shared" si="16"/>
        <v>14</v>
      </c>
      <c r="Q354" s="21">
        <f t="shared" si="17"/>
        <v>4</v>
      </c>
      <c r="R354" s="21">
        <v>0</v>
      </c>
      <c r="S354" s="21">
        <v>12</v>
      </c>
    </row>
    <row r="355" spans="1:19" x14ac:dyDescent="0.25">
      <c r="A355" s="21" t="s">
        <v>42</v>
      </c>
      <c r="B355" s="21">
        <v>17</v>
      </c>
      <c r="C355" s="21" t="s">
        <v>48</v>
      </c>
      <c r="D355" s="21">
        <v>2025</v>
      </c>
      <c r="E355" s="21">
        <v>6</v>
      </c>
      <c r="F355" s="21">
        <v>12</v>
      </c>
      <c r="G355" s="21">
        <v>4</v>
      </c>
      <c r="H355" s="21">
        <v>2</v>
      </c>
      <c r="I355" s="21">
        <v>0</v>
      </c>
      <c r="J355" s="21">
        <v>0</v>
      </c>
      <c r="K355" s="21">
        <v>0</v>
      </c>
      <c r="L355" s="21">
        <v>0</v>
      </c>
      <c r="M355" s="21">
        <v>0</v>
      </c>
      <c r="N355" s="21">
        <v>0</v>
      </c>
      <c r="O355" s="21">
        <f t="shared" si="15"/>
        <v>6</v>
      </c>
      <c r="P355" s="21">
        <f t="shared" si="16"/>
        <v>14</v>
      </c>
      <c r="Q355" s="21">
        <f t="shared" si="17"/>
        <v>4</v>
      </c>
      <c r="R355" s="21">
        <v>0</v>
      </c>
      <c r="S355" s="21">
        <v>12</v>
      </c>
    </row>
    <row r="356" spans="1:19" x14ac:dyDescent="0.25">
      <c r="A356" s="21" t="s">
        <v>43</v>
      </c>
      <c r="B356" s="21">
        <v>18</v>
      </c>
      <c r="C356" s="21" t="s">
        <v>48</v>
      </c>
      <c r="D356" s="21">
        <v>2025</v>
      </c>
      <c r="E356" s="21">
        <v>6</v>
      </c>
      <c r="F356" s="21">
        <v>12</v>
      </c>
      <c r="G356" s="21">
        <v>4</v>
      </c>
      <c r="H356" s="21">
        <v>2</v>
      </c>
      <c r="I356" s="21">
        <v>0</v>
      </c>
      <c r="J356" s="21">
        <v>0</v>
      </c>
      <c r="K356" s="21">
        <v>0</v>
      </c>
      <c r="L356" s="21">
        <v>0</v>
      </c>
      <c r="M356" s="21">
        <v>0</v>
      </c>
      <c r="N356" s="21">
        <v>0</v>
      </c>
      <c r="O356" s="21">
        <f t="shared" si="15"/>
        <v>6</v>
      </c>
      <c r="P356" s="21">
        <f t="shared" si="16"/>
        <v>14</v>
      </c>
      <c r="Q356" s="21">
        <f t="shared" si="17"/>
        <v>4</v>
      </c>
      <c r="R356" s="21">
        <v>0</v>
      </c>
      <c r="S356" s="21">
        <v>12</v>
      </c>
    </row>
    <row r="357" spans="1:19" x14ac:dyDescent="0.25">
      <c r="A357" s="21" t="s">
        <v>44</v>
      </c>
      <c r="B357" s="21">
        <v>19</v>
      </c>
      <c r="C357" s="21" t="s">
        <v>48</v>
      </c>
      <c r="D357" s="21">
        <v>2025</v>
      </c>
      <c r="E357" s="21">
        <v>6</v>
      </c>
      <c r="F357" s="21">
        <v>12</v>
      </c>
      <c r="G357" s="21">
        <v>4</v>
      </c>
      <c r="H357" s="21">
        <v>2</v>
      </c>
      <c r="I357" s="21">
        <v>0</v>
      </c>
      <c r="J357" s="21">
        <v>0</v>
      </c>
      <c r="K357" s="21">
        <v>0</v>
      </c>
      <c r="L357" s="21">
        <v>0</v>
      </c>
      <c r="M357" s="21">
        <v>0</v>
      </c>
      <c r="N357" s="21">
        <v>0</v>
      </c>
      <c r="O357" s="21">
        <f t="shared" si="15"/>
        <v>6</v>
      </c>
      <c r="P357" s="21">
        <f t="shared" si="16"/>
        <v>14</v>
      </c>
      <c r="Q357" s="21">
        <f t="shared" si="17"/>
        <v>4</v>
      </c>
      <c r="R357" s="21">
        <v>0</v>
      </c>
      <c r="S357" s="21">
        <v>12</v>
      </c>
    </row>
    <row r="358" spans="1:19" x14ac:dyDescent="0.25">
      <c r="A358" s="21" t="s">
        <v>36</v>
      </c>
      <c r="B358" s="21">
        <v>20</v>
      </c>
      <c r="C358" s="21" t="s">
        <v>48</v>
      </c>
      <c r="D358" s="21">
        <v>2025</v>
      </c>
      <c r="E358" s="21">
        <v>0</v>
      </c>
      <c r="F358" s="21">
        <v>0</v>
      </c>
      <c r="G358" s="21">
        <v>0</v>
      </c>
      <c r="H358" s="21">
        <v>0</v>
      </c>
      <c r="I358" s="21">
        <v>8</v>
      </c>
      <c r="J358" s="21">
        <v>11</v>
      </c>
      <c r="K358" s="21">
        <v>2</v>
      </c>
      <c r="L358" s="21">
        <v>3</v>
      </c>
      <c r="M358" s="21">
        <v>0</v>
      </c>
      <c r="N358" s="21">
        <v>0</v>
      </c>
      <c r="O358" s="21">
        <f t="shared" si="15"/>
        <v>8</v>
      </c>
      <c r="P358" s="21">
        <f t="shared" si="16"/>
        <v>14</v>
      </c>
      <c r="Q358" s="21">
        <f t="shared" si="17"/>
        <v>2</v>
      </c>
      <c r="R358" s="21">
        <v>1</v>
      </c>
      <c r="S358" s="21">
        <v>11</v>
      </c>
    </row>
    <row r="359" spans="1:19" x14ac:dyDescent="0.25">
      <c r="A359" s="21" t="s">
        <v>45</v>
      </c>
      <c r="B359" s="21">
        <v>21</v>
      </c>
      <c r="C359" s="21" t="s">
        <v>48</v>
      </c>
      <c r="D359" s="21">
        <v>2025</v>
      </c>
      <c r="E359" s="21">
        <v>0</v>
      </c>
      <c r="F359" s="21">
        <v>0</v>
      </c>
      <c r="G359" s="21">
        <v>0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18</v>
      </c>
      <c r="N359" s="21">
        <v>6</v>
      </c>
      <c r="O359" s="21">
        <f t="shared" si="15"/>
        <v>18</v>
      </c>
      <c r="P359" s="21">
        <f t="shared" si="16"/>
        <v>6</v>
      </c>
      <c r="Q359" s="21">
        <f t="shared" si="17"/>
        <v>0</v>
      </c>
      <c r="R359" s="21">
        <v>12</v>
      </c>
      <c r="S359" s="21">
        <v>0</v>
      </c>
    </row>
    <row r="360" spans="1:19" x14ac:dyDescent="0.25">
      <c r="A360" s="21" t="s">
        <v>46</v>
      </c>
      <c r="B360" s="21">
        <v>22</v>
      </c>
      <c r="C360" s="21" t="s">
        <v>48</v>
      </c>
      <c r="D360" s="21">
        <v>2025</v>
      </c>
      <c r="E360" s="21">
        <v>6</v>
      </c>
      <c r="F360" s="21">
        <v>12</v>
      </c>
      <c r="G360" s="21">
        <v>4</v>
      </c>
      <c r="H360" s="21">
        <v>2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21">
        <f t="shared" si="15"/>
        <v>6</v>
      </c>
      <c r="P360" s="21">
        <f t="shared" si="16"/>
        <v>14</v>
      </c>
      <c r="Q360" s="21">
        <f t="shared" si="17"/>
        <v>4</v>
      </c>
      <c r="R360" s="21">
        <v>0</v>
      </c>
      <c r="S360" s="21">
        <v>12</v>
      </c>
    </row>
    <row r="361" spans="1:19" x14ac:dyDescent="0.25">
      <c r="A361" s="21" t="s">
        <v>47</v>
      </c>
      <c r="B361" s="21">
        <v>23</v>
      </c>
      <c r="C361" s="21" t="s">
        <v>48</v>
      </c>
      <c r="D361" s="21">
        <v>2025</v>
      </c>
      <c r="E361" s="21">
        <v>6</v>
      </c>
      <c r="F361" s="21">
        <v>12</v>
      </c>
      <c r="G361" s="21">
        <v>4</v>
      </c>
      <c r="H361" s="21">
        <v>2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21">
        <f t="shared" si="15"/>
        <v>6</v>
      </c>
      <c r="P361" s="21">
        <f t="shared" si="16"/>
        <v>14</v>
      </c>
      <c r="Q361" s="21">
        <f t="shared" si="17"/>
        <v>4</v>
      </c>
      <c r="R361" s="21">
        <v>0</v>
      </c>
      <c r="S361" s="21">
        <v>12</v>
      </c>
    </row>
    <row r="362" spans="1:19" x14ac:dyDescent="0.25">
      <c r="A362" s="21" t="s">
        <v>42</v>
      </c>
      <c r="B362" s="21">
        <v>24</v>
      </c>
      <c r="C362" s="21" t="s">
        <v>48</v>
      </c>
      <c r="D362" s="21">
        <v>2025</v>
      </c>
      <c r="E362" s="21">
        <v>6</v>
      </c>
      <c r="F362" s="21">
        <v>12</v>
      </c>
      <c r="G362" s="21">
        <v>4</v>
      </c>
      <c r="H362" s="21">
        <v>2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21">
        <f t="shared" si="15"/>
        <v>6</v>
      </c>
      <c r="P362" s="21">
        <f t="shared" si="16"/>
        <v>14</v>
      </c>
      <c r="Q362" s="21">
        <f t="shared" si="17"/>
        <v>4</v>
      </c>
      <c r="R362" s="21">
        <v>0</v>
      </c>
      <c r="S362" s="21">
        <v>12</v>
      </c>
    </row>
    <row r="363" spans="1:19" x14ac:dyDescent="0.25">
      <c r="A363" s="21" t="s">
        <v>43</v>
      </c>
      <c r="B363" s="21">
        <v>25</v>
      </c>
      <c r="C363" s="21" t="s">
        <v>48</v>
      </c>
      <c r="D363" s="21">
        <v>2025</v>
      </c>
      <c r="E363" s="21">
        <v>6</v>
      </c>
      <c r="F363" s="21">
        <v>12</v>
      </c>
      <c r="G363" s="21">
        <v>4</v>
      </c>
      <c r="H363" s="21">
        <v>2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f t="shared" si="15"/>
        <v>6</v>
      </c>
      <c r="P363" s="21">
        <f t="shared" si="16"/>
        <v>14</v>
      </c>
      <c r="Q363" s="21">
        <f t="shared" si="17"/>
        <v>4</v>
      </c>
      <c r="R363" s="21">
        <v>0</v>
      </c>
      <c r="S363" s="21">
        <v>12</v>
      </c>
    </row>
    <row r="364" spans="1:19" x14ac:dyDescent="0.25">
      <c r="A364" s="21" t="s">
        <v>44</v>
      </c>
      <c r="B364" s="21">
        <v>26</v>
      </c>
      <c r="C364" s="21" t="s">
        <v>48</v>
      </c>
      <c r="D364" s="21">
        <v>2025</v>
      </c>
      <c r="E364" s="21">
        <v>6</v>
      </c>
      <c r="F364" s="21">
        <v>12</v>
      </c>
      <c r="G364" s="21">
        <v>4</v>
      </c>
      <c r="H364" s="21">
        <v>2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f t="shared" si="15"/>
        <v>6</v>
      </c>
      <c r="P364" s="21">
        <f t="shared" si="16"/>
        <v>14</v>
      </c>
      <c r="Q364" s="21">
        <f t="shared" si="17"/>
        <v>4</v>
      </c>
      <c r="R364" s="21">
        <v>0</v>
      </c>
      <c r="S364" s="21">
        <v>12</v>
      </c>
    </row>
    <row r="365" spans="1:19" x14ac:dyDescent="0.25">
      <c r="A365" s="21" t="s">
        <v>36</v>
      </c>
      <c r="B365" s="21">
        <v>27</v>
      </c>
      <c r="C365" s="21" t="s">
        <v>48</v>
      </c>
      <c r="D365" s="21">
        <v>2025</v>
      </c>
      <c r="E365" s="21">
        <v>0</v>
      </c>
      <c r="F365" s="21">
        <v>0</v>
      </c>
      <c r="G365" s="21">
        <v>0</v>
      </c>
      <c r="H365" s="21">
        <v>0</v>
      </c>
      <c r="I365" s="21">
        <v>8</v>
      </c>
      <c r="J365" s="21">
        <v>11</v>
      </c>
      <c r="K365" s="21">
        <v>2</v>
      </c>
      <c r="L365" s="21">
        <v>3</v>
      </c>
      <c r="M365" s="21">
        <v>0</v>
      </c>
      <c r="N365" s="21">
        <v>0</v>
      </c>
      <c r="O365" s="21">
        <f t="shared" si="15"/>
        <v>8</v>
      </c>
      <c r="P365" s="21">
        <f t="shared" si="16"/>
        <v>14</v>
      </c>
      <c r="Q365" s="21">
        <f t="shared" si="17"/>
        <v>2</v>
      </c>
      <c r="R365" s="21">
        <v>1</v>
      </c>
      <c r="S365" s="21">
        <v>11</v>
      </c>
    </row>
    <row r="366" spans="1:19" x14ac:dyDescent="0.25">
      <c r="A366" s="21" t="s">
        <v>45</v>
      </c>
      <c r="B366" s="21">
        <v>28</v>
      </c>
      <c r="C366" s="21" t="s">
        <v>48</v>
      </c>
      <c r="D366" s="21">
        <v>2025</v>
      </c>
      <c r="E366" s="21">
        <v>0</v>
      </c>
      <c r="F366" s="21"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18</v>
      </c>
      <c r="N366" s="21">
        <v>6</v>
      </c>
      <c r="O366" s="21">
        <f t="shared" si="15"/>
        <v>18</v>
      </c>
      <c r="P366" s="21">
        <f t="shared" si="16"/>
        <v>6</v>
      </c>
      <c r="Q366" s="21">
        <f t="shared" si="17"/>
        <v>0</v>
      </c>
      <c r="R366" s="21">
        <v>12</v>
      </c>
      <c r="S366" s="21">
        <v>0</v>
      </c>
    </row>
    <row r="367" spans="1:19" x14ac:dyDescent="0.25">
      <c r="A367" s="21" t="s">
        <v>46</v>
      </c>
      <c r="B367" s="21">
        <v>29</v>
      </c>
      <c r="C367" s="21" t="s">
        <v>48</v>
      </c>
      <c r="D367" s="21">
        <v>2025</v>
      </c>
      <c r="E367" s="21">
        <v>6</v>
      </c>
      <c r="F367" s="21">
        <v>12</v>
      </c>
      <c r="G367" s="21">
        <v>4</v>
      </c>
      <c r="H367" s="21">
        <v>2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f t="shared" si="15"/>
        <v>6</v>
      </c>
      <c r="P367" s="21">
        <f t="shared" si="16"/>
        <v>14</v>
      </c>
      <c r="Q367" s="21">
        <f t="shared" si="17"/>
        <v>4</v>
      </c>
      <c r="R367" s="21">
        <v>0</v>
      </c>
      <c r="S367" s="21">
        <v>12</v>
      </c>
    </row>
    <row r="368" spans="1:19" x14ac:dyDescent="0.25">
      <c r="A368" s="21" t="s">
        <v>47</v>
      </c>
      <c r="B368" s="21">
        <v>30</v>
      </c>
      <c r="C368" s="21" t="s">
        <v>48</v>
      </c>
      <c r="D368" s="21">
        <v>2025</v>
      </c>
      <c r="E368" s="21">
        <v>6</v>
      </c>
      <c r="F368" s="21">
        <v>12</v>
      </c>
      <c r="G368" s="21">
        <v>4</v>
      </c>
      <c r="H368" s="21">
        <v>2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21">
        <f t="shared" si="15"/>
        <v>6</v>
      </c>
      <c r="P368" s="21">
        <f t="shared" si="16"/>
        <v>14</v>
      </c>
      <c r="Q368" s="21">
        <f t="shared" si="17"/>
        <v>4</v>
      </c>
      <c r="R368" s="21">
        <v>0</v>
      </c>
      <c r="S368" s="21">
        <v>12</v>
      </c>
    </row>
    <row r="369" spans="1:19" x14ac:dyDescent="0.25">
      <c r="A369" s="21" t="s">
        <v>42</v>
      </c>
      <c r="B369" s="21">
        <v>31</v>
      </c>
      <c r="C369" s="21" t="s">
        <v>48</v>
      </c>
      <c r="D369" s="21">
        <v>2025</v>
      </c>
      <c r="E369" s="21">
        <v>6</v>
      </c>
      <c r="F369" s="21">
        <v>12</v>
      </c>
      <c r="G369" s="21">
        <v>4</v>
      </c>
      <c r="H369" s="21">
        <v>2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21">
        <f t="shared" si="15"/>
        <v>6</v>
      </c>
      <c r="P369" s="21">
        <f t="shared" si="16"/>
        <v>14</v>
      </c>
      <c r="Q369" s="21">
        <f t="shared" si="17"/>
        <v>4</v>
      </c>
      <c r="R369" s="21">
        <v>0</v>
      </c>
      <c r="S369" s="21">
        <v>12</v>
      </c>
    </row>
    <row r="370" spans="1:19" x14ac:dyDescent="0.25">
      <c r="A370" s="73"/>
      <c r="B370" s="73"/>
      <c r="C370" s="73"/>
      <c r="D370" s="73"/>
      <c r="E370" s="10" t="s">
        <v>49</v>
      </c>
      <c r="F370" s="10" t="s">
        <v>50</v>
      </c>
      <c r="G370" s="10" t="s">
        <v>34</v>
      </c>
      <c r="H370" s="10" t="s">
        <v>50</v>
      </c>
      <c r="I370" s="10" t="s">
        <v>49</v>
      </c>
      <c r="J370" s="10" t="s">
        <v>50</v>
      </c>
      <c r="K370" s="10" t="s">
        <v>34</v>
      </c>
      <c r="L370" s="10" t="s">
        <v>50</v>
      </c>
      <c r="M370" s="10" t="s">
        <v>49</v>
      </c>
      <c r="N370" s="10" t="s">
        <v>50</v>
      </c>
      <c r="O370" s="22" t="s">
        <v>49</v>
      </c>
      <c r="P370" s="22" t="s">
        <v>50</v>
      </c>
      <c r="Q370" s="22" t="s">
        <v>34</v>
      </c>
      <c r="R370" s="22" t="s">
        <v>49</v>
      </c>
      <c r="S370" s="22" t="s">
        <v>33</v>
      </c>
    </row>
    <row r="371" spans="1:19" x14ac:dyDescent="0.25">
      <c r="A371" s="73" t="s">
        <v>51</v>
      </c>
      <c r="B371" s="73"/>
      <c r="C371" s="73"/>
      <c r="D371" s="73"/>
      <c r="E371" s="9">
        <f t="shared" ref="E371:N371" si="18">SUM(E5:E99,E100:E302,E303:E369)</f>
        <v>1566</v>
      </c>
      <c r="F371" s="9">
        <f t="shared" si="18"/>
        <v>3422</v>
      </c>
      <c r="G371" s="9">
        <f t="shared" si="18"/>
        <v>754</v>
      </c>
      <c r="H371" s="9">
        <f t="shared" si="18"/>
        <v>522</v>
      </c>
      <c r="I371" s="9">
        <f t="shared" si="18"/>
        <v>387</v>
      </c>
      <c r="J371" s="9">
        <f t="shared" si="18"/>
        <v>746</v>
      </c>
      <c r="K371" s="9">
        <f t="shared" si="18"/>
        <v>46</v>
      </c>
      <c r="L371" s="9">
        <f t="shared" si="18"/>
        <v>69</v>
      </c>
      <c r="M371" s="9">
        <f t="shared" si="18"/>
        <v>965</v>
      </c>
      <c r="N371" s="9">
        <f t="shared" si="18"/>
        <v>283</v>
      </c>
      <c r="O371" s="9">
        <f>SUM(O5:O369)</f>
        <v>2918</v>
      </c>
      <c r="P371" s="9">
        <f>SUM(P5:P369)</f>
        <v>5042</v>
      </c>
      <c r="Q371" s="9">
        <f>SUM(Q5:Q369)</f>
        <v>800</v>
      </c>
      <c r="R371" s="9">
        <f>SUM(R5:R369)</f>
        <v>647</v>
      </c>
      <c r="S371" s="9">
        <f>SUM(S5:S369)</f>
        <v>3733</v>
      </c>
    </row>
    <row r="372" spans="1:19" x14ac:dyDescent="0.25"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9" x14ac:dyDescent="0.25"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9" x14ac:dyDescent="0.25"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9" x14ac:dyDescent="0.25"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9" x14ac:dyDescent="0.25"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9" x14ac:dyDescent="0.25"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9" x14ac:dyDescent="0.25"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9" x14ac:dyDescent="0.25"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9" x14ac:dyDescent="0.25"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9" x14ac:dyDescent="0.25">
      <c r="E381" s="1"/>
      <c r="F381" s="1"/>
      <c r="G381" s="1"/>
      <c r="H381" s="1"/>
      <c r="I381" s="1"/>
      <c r="J381" s="1"/>
      <c r="K381" s="1"/>
      <c r="L381" s="1"/>
      <c r="M381" s="1"/>
      <c r="N381" s="1"/>
    </row>
  </sheetData>
  <mergeCells count="10">
    <mergeCell ref="A3:D3"/>
    <mergeCell ref="A4:D4"/>
    <mergeCell ref="O1:Q3"/>
    <mergeCell ref="R1:S3"/>
    <mergeCell ref="A371:D371"/>
    <mergeCell ref="A370:D370"/>
    <mergeCell ref="A2:D2"/>
    <mergeCell ref="E1:H1"/>
    <mergeCell ref="I1:L1"/>
    <mergeCell ref="M1:N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CA9E-1CAA-449B-9144-01186736DC3A}">
  <dimension ref="A1:W21"/>
  <sheetViews>
    <sheetView workbookViewId="0">
      <selection sqref="A1:I1"/>
    </sheetView>
  </sheetViews>
  <sheetFormatPr baseColWidth="10" defaultRowHeight="15" x14ac:dyDescent="0.25"/>
  <cols>
    <col min="1" max="1" width="13" style="3" customWidth="1"/>
    <col min="2" max="2" width="15.140625" style="3" customWidth="1"/>
    <col min="3" max="3" width="10" style="6" customWidth="1"/>
    <col min="4" max="4" width="10.7109375" style="6" customWidth="1"/>
    <col min="5" max="5" width="11.42578125" style="6" customWidth="1"/>
    <col min="6" max="6" width="13" style="6" customWidth="1"/>
    <col min="7" max="7" width="13.28515625" style="3" customWidth="1"/>
    <col min="8" max="8" width="9.140625" style="3" customWidth="1"/>
    <col min="9" max="9" width="12.5703125" style="3" customWidth="1"/>
    <col min="10" max="23" width="11.42578125" style="3"/>
  </cols>
  <sheetData>
    <row r="1" spans="1:10" x14ac:dyDescent="0.25">
      <c r="A1" s="75" t="s">
        <v>35</v>
      </c>
      <c r="B1" s="75"/>
      <c r="C1" s="75"/>
      <c r="D1" s="75"/>
      <c r="E1" s="75"/>
      <c r="F1" s="75"/>
      <c r="G1" s="75"/>
      <c r="H1" s="75"/>
      <c r="I1" s="75"/>
    </row>
    <row r="2" spans="1:10" x14ac:dyDescent="0.25">
      <c r="A2" s="4" t="s">
        <v>17</v>
      </c>
      <c r="B2" s="75" t="s">
        <v>11</v>
      </c>
      <c r="C2" s="75"/>
      <c r="D2" s="75"/>
      <c r="E2" s="75"/>
      <c r="F2" s="75" t="s">
        <v>12</v>
      </c>
      <c r="G2" s="75"/>
      <c r="H2" s="75"/>
      <c r="I2" s="75"/>
    </row>
    <row r="3" spans="1:10" x14ac:dyDescent="0.25">
      <c r="A3" s="75" t="s">
        <v>0</v>
      </c>
      <c r="B3" s="75" t="s">
        <v>13</v>
      </c>
      <c r="C3" s="75"/>
      <c r="D3" s="75"/>
      <c r="E3" s="75"/>
      <c r="F3" s="75" t="s">
        <v>15</v>
      </c>
      <c r="G3" s="75"/>
      <c r="H3" s="75"/>
      <c r="I3" s="75"/>
    </row>
    <row r="4" spans="1:10" x14ac:dyDescent="0.25">
      <c r="A4" s="75"/>
      <c r="B4" s="75" t="s">
        <v>14</v>
      </c>
      <c r="C4" s="75"/>
      <c r="D4" s="75"/>
      <c r="E4" s="75"/>
      <c r="F4" s="75" t="s">
        <v>16</v>
      </c>
      <c r="G4" s="75"/>
      <c r="H4" s="75"/>
      <c r="I4" s="75"/>
    </row>
    <row r="5" spans="1:10" x14ac:dyDescent="0.25">
      <c r="A5" s="75" t="s">
        <v>30</v>
      </c>
      <c r="B5" s="75" t="s">
        <v>24</v>
      </c>
      <c r="C5" s="75"/>
      <c r="D5" s="75"/>
      <c r="E5" s="75"/>
      <c r="F5" s="75" t="s">
        <v>18</v>
      </c>
      <c r="G5" s="75"/>
      <c r="H5" s="75"/>
      <c r="I5" s="75"/>
    </row>
    <row r="6" spans="1:10" x14ac:dyDescent="0.25">
      <c r="A6" s="75"/>
      <c r="B6" s="75" t="s">
        <v>25</v>
      </c>
      <c r="C6" s="75"/>
      <c r="D6" s="75"/>
      <c r="E6" s="75"/>
      <c r="F6" s="75" t="s">
        <v>19</v>
      </c>
      <c r="G6" s="75"/>
      <c r="H6" s="75"/>
      <c r="I6" s="75"/>
    </row>
    <row r="7" spans="1:10" x14ac:dyDescent="0.25">
      <c r="A7" s="75"/>
      <c r="B7" s="75" t="s">
        <v>26</v>
      </c>
      <c r="C7" s="75"/>
      <c r="D7" s="75"/>
      <c r="E7" s="75"/>
      <c r="F7" s="75" t="s">
        <v>20</v>
      </c>
      <c r="G7" s="75"/>
      <c r="H7" s="75"/>
      <c r="I7" s="75"/>
    </row>
    <row r="8" spans="1:10" x14ac:dyDescent="0.25">
      <c r="A8" s="75"/>
      <c r="B8" s="75" t="s">
        <v>27</v>
      </c>
      <c r="C8" s="75"/>
      <c r="D8" s="75"/>
      <c r="E8" s="75"/>
      <c r="F8" s="75" t="s">
        <v>21</v>
      </c>
      <c r="G8" s="75"/>
      <c r="H8" s="75"/>
      <c r="I8" s="75"/>
    </row>
    <row r="9" spans="1:10" x14ac:dyDescent="0.25">
      <c r="A9" s="75"/>
      <c r="B9" s="75" t="s">
        <v>28</v>
      </c>
      <c r="C9" s="75"/>
      <c r="D9" s="75"/>
      <c r="E9" s="75"/>
      <c r="F9" s="75" t="s">
        <v>22</v>
      </c>
      <c r="G9" s="75"/>
      <c r="H9" s="75"/>
      <c r="I9" s="75"/>
    </row>
    <row r="10" spans="1:10" x14ac:dyDescent="0.25">
      <c r="A10" s="75"/>
      <c r="B10" s="75" t="s">
        <v>29</v>
      </c>
      <c r="C10" s="75"/>
      <c r="D10" s="75"/>
      <c r="E10" s="75"/>
      <c r="F10" s="75" t="s">
        <v>23</v>
      </c>
      <c r="G10" s="75"/>
      <c r="H10" s="75"/>
      <c r="I10" s="75"/>
    </row>
    <row r="11" spans="1:10" ht="15" customHeight="1" x14ac:dyDescent="0.25">
      <c r="A11" s="76" t="s">
        <v>31</v>
      </c>
      <c r="B11" s="4" t="s">
        <v>32</v>
      </c>
      <c r="C11" s="5">
        <v>0</v>
      </c>
      <c r="D11" s="5">
        <v>0.25</v>
      </c>
      <c r="E11" s="5">
        <f t="shared" ref="E11:E16" si="0">D11-C11</f>
        <v>0.25</v>
      </c>
      <c r="F11" s="4" t="s">
        <v>32</v>
      </c>
      <c r="G11" s="5">
        <v>0</v>
      </c>
      <c r="H11" s="5">
        <v>0.25</v>
      </c>
      <c r="I11" s="5">
        <f>H11-G11</f>
        <v>0.25</v>
      </c>
      <c r="J11" s="6"/>
    </row>
    <row r="12" spans="1:10" x14ac:dyDescent="0.25">
      <c r="A12" s="76"/>
      <c r="B12" s="4" t="s">
        <v>33</v>
      </c>
      <c r="C12" s="5">
        <v>0.25</v>
      </c>
      <c r="D12" s="5">
        <v>0.83333333333333337</v>
      </c>
      <c r="E12" s="5">
        <f t="shared" si="0"/>
        <v>0.58333333333333337</v>
      </c>
      <c r="F12" s="4" t="s">
        <v>33</v>
      </c>
      <c r="G12" s="5">
        <v>0.25</v>
      </c>
      <c r="H12" s="5">
        <v>0.75</v>
      </c>
      <c r="I12" s="5">
        <f>H12-G12</f>
        <v>0.5</v>
      </c>
      <c r="J12" s="6"/>
    </row>
    <row r="13" spans="1:10" x14ac:dyDescent="0.25">
      <c r="A13" s="76"/>
      <c r="B13" s="4" t="s">
        <v>34</v>
      </c>
      <c r="C13" s="5">
        <v>0.83333333333333337</v>
      </c>
      <c r="D13" s="5">
        <v>0.91666666666666663</v>
      </c>
      <c r="E13" s="5">
        <f t="shared" si="0"/>
        <v>8.3333333333333259E-2</v>
      </c>
      <c r="F13" s="4" t="s">
        <v>34</v>
      </c>
      <c r="G13" s="5">
        <v>0.75</v>
      </c>
      <c r="H13" s="5">
        <v>0.91666666666666663</v>
      </c>
      <c r="I13" s="5">
        <f t="shared" ref="I13:I20" si="1">H13-G13</f>
        <v>0.16666666666666663</v>
      </c>
      <c r="J13" s="6"/>
    </row>
    <row r="14" spans="1:10" x14ac:dyDescent="0.25">
      <c r="A14" s="76"/>
      <c r="B14" s="4" t="s">
        <v>33</v>
      </c>
      <c r="C14" s="5">
        <v>0.91666666666666663</v>
      </c>
      <c r="D14" s="5">
        <v>1</v>
      </c>
      <c r="E14" s="5">
        <f t="shared" si="0"/>
        <v>8.333333333333337E-2</v>
      </c>
      <c r="F14" s="4" t="s">
        <v>33</v>
      </c>
      <c r="G14" s="5">
        <v>0.91666666666666663</v>
      </c>
      <c r="H14" s="5">
        <v>1</v>
      </c>
      <c r="I14" s="5">
        <f t="shared" si="1"/>
        <v>8.333333333333337E-2</v>
      </c>
      <c r="J14" s="6"/>
    </row>
    <row r="15" spans="1:10" x14ac:dyDescent="0.25">
      <c r="A15" s="75" t="s">
        <v>36</v>
      </c>
      <c r="B15" s="4" t="s">
        <v>32</v>
      </c>
      <c r="C15" s="5">
        <v>0</v>
      </c>
      <c r="D15" s="5">
        <v>0.29166666666666669</v>
      </c>
      <c r="E15" s="5">
        <f t="shared" si="0"/>
        <v>0.29166666666666669</v>
      </c>
      <c r="F15" s="4" t="s">
        <v>32</v>
      </c>
      <c r="G15" s="5">
        <v>0</v>
      </c>
      <c r="H15" s="5">
        <v>0.33333333333333331</v>
      </c>
      <c r="I15" s="5">
        <f t="shared" si="1"/>
        <v>0.33333333333333331</v>
      </c>
      <c r="J15" s="6"/>
    </row>
    <row r="16" spans="1:10" x14ac:dyDescent="0.25">
      <c r="A16" s="75"/>
      <c r="B16" s="4" t="s">
        <v>33</v>
      </c>
      <c r="C16" s="5">
        <v>0.29166666666666669</v>
      </c>
      <c r="D16" s="5">
        <v>1</v>
      </c>
      <c r="E16" s="5">
        <f t="shared" si="0"/>
        <v>0.70833333333333326</v>
      </c>
      <c r="F16" s="4" t="s">
        <v>33</v>
      </c>
      <c r="G16" s="5">
        <v>0.33333333333333331</v>
      </c>
      <c r="H16" s="5">
        <v>0.79166666666666663</v>
      </c>
      <c r="I16" s="5">
        <f t="shared" si="1"/>
        <v>0.45833333333333331</v>
      </c>
      <c r="J16" s="6"/>
    </row>
    <row r="17" spans="1:10" x14ac:dyDescent="0.25">
      <c r="A17" s="75"/>
      <c r="B17" s="4" t="s">
        <v>34</v>
      </c>
      <c r="C17" s="5"/>
      <c r="D17" s="5"/>
      <c r="E17" s="5"/>
      <c r="F17" s="4" t="s">
        <v>34</v>
      </c>
      <c r="G17" s="5">
        <v>0.79166666666666663</v>
      </c>
      <c r="H17" s="5">
        <v>0.875</v>
      </c>
      <c r="I17" s="5">
        <f t="shared" si="1"/>
        <v>8.333333333333337E-2</v>
      </c>
      <c r="J17" s="6"/>
    </row>
    <row r="18" spans="1:10" x14ac:dyDescent="0.25">
      <c r="A18" s="75"/>
      <c r="B18" s="4" t="s">
        <v>33</v>
      </c>
      <c r="C18" s="5"/>
      <c r="D18" s="5"/>
      <c r="E18" s="5"/>
      <c r="F18" s="4" t="s">
        <v>33</v>
      </c>
      <c r="G18" s="5">
        <v>0.875</v>
      </c>
      <c r="H18" s="5">
        <v>1</v>
      </c>
      <c r="I18" s="5">
        <f t="shared" si="1"/>
        <v>0.125</v>
      </c>
      <c r="J18" s="6"/>
    </row>
    <row r="19" spans="1:10" x14ac:dyDescent="0.25">
      <c r="A19" s="76" t="s">
        <v>37</v>
      </c>
      <c r="B19" s="4" t="s">
        <v>32</v>
      </c>
      <c r="C19" s="5">
        <v>0</v>
      </c>
      <c r="D19" s="5">
        <v>0.79166666666666663</v>
      </c>
      <c r="E19" s="5">
        <f>D19-C19</f>
        <v>0.79166666666666663</v>
      </c>
      <c r="F19" s="4" t="s">
        <v>32</v>
      </c>
      <c r="G19" s="5">
        <v>0</v>
      </c>
      <c r="H19" s="5">
        <v>0.75</v>
      </c>
      <c r="I19" s="5">
        <f t="shared" si="1"/>
        <v>0.75</v>
      </c>
      <c r="J19" s="6"/>
    </row>
    <row r="20" spans="1:10" x14ac:dyDescent="0.25">
      <c r="A20" s="76"/>
      <c r="B20" s="4" t="s">
        <v>33</v>
      </c>
      <c r="C20" s="5">
        <v>0.79166666666666663</v>
      </c>
      <c r="D20" s="5">
        <v>1</v>
      </c>
      <c r="E20" s="5">
        <f>D20-C20</f>
        <v>0.20833333333333337</v>
      </c>
      <c r="F20" s="4" t="s">
        <v>33</v>
      </c>
      <c r="G20" s="5">
        <v>0.75</v>
      </c>
      <c r="H20" s="5">
        <v>1</v>
      </c>
      <c r="I20" s="5">
        <f t="shared" si="1"/>
        <v>0.25</v>
      </c>
      <c r="J20" s="6"/>
    </row>
    <row r="21" spans="1:10" x14ac:dyDescent="0.25">
      <c r="F21" s="3"/>
      <c r="G21" s="6"/>
      <c r="H21" s="6"/>
      <c r="I21" s="6"/>
    </row>
  </sheetData>
  <mergeCells count="24">
    <mergeCell ref="A19:A20"/>
    <mergeCell ref="B7:E7"/>
    <mergeCell ref="B6:E6"/>
    <mergeCell ref="B5:E5"/>
    <mergeCell ref="A5:A10"/>
    <mergeCell ref="B8:E8"/>
    <mergeCell ref="B9:E9"/>
    <mergeCell ref="B10:E10"/>
    <mergeCell ref="A15:A18"/>
    <mergeCell ref="A11:A14"/>
    <mergeCell ref="F7:I7"/>
    <mergeCell ref="F8:I8"/>
    <mergeCell ref="F9:I9"/>
    <mergeCell ref="F10:I10"/>
    <mergeCell ref="A1:I1"/>
    <mergeCell ref="F2:I2"/>
    <mergeCell ref="F3:I3"/>
    <mergeCell ref="F4:I4"/>
    <mergeCell ref="F5:I5"/>
    <mergeCell ref="F6:I6"/>
    <mergeCell ref="B4:E4"/>
    <mergeCell ref="B2:E2"/>
    <mergeCell ref="A3:A4"/>
    <mergeCell ref="B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2025-10-10T22:21:30Z</dcterms:created>
  <dcterms:modified xsi:type="dcterms:W3CDTF">2025-11-27T20:22:15Z</dcterms:modified>
</cp:coreProperties>
</file>